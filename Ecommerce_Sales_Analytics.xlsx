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7956" activeTab="2"/>
  </bookViews>
  <sheets>
    <sheet name="Raw_Data" sheetId="1" r:id="rId1"/>
    <sheet name="PIVOT_TABLE" sheetId="4" r:id="rId2"/>
    <sheet name="KPI_SUMMARY" sheetId="2" r:id="rId3"/>
    <sheet name="Sales_Dashboard" sheetId="5" r:id="rId4"/>
  </sheets>
  <externalReferences>
    <externalReference r:id="rId8"/>
  </externalReferences>
  <calcPr calcId="191029"/>
  <pivotCaches>
    <pivotCache cacheId="0" r:id="rId5"/>
    <pivotCache cacheId="1" r:id="rId6"/>
    <pivotCache cacheId="2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<sst xmlns="http://schemas.openxmlformats.org/spreadsheetml/2006/main" count="208" uniqueCount="107">
  <si>
    <t>Order_ID</t>
  </si>
  <si>
    <t>Order_Date</t>
  </si>
  <si>
    <t>Customer_ID</t>
  </si>
  <si>
    <t>Customer_Name</t>
  </si>
  <si>
    <t>Category</t>
  </si>
  <si>
    <t>Product</t>
  </si>
  <si>
    <t>Quantity</t>
  </si>
  <si>
    <t>Unit_Price</t>
  </si>
  <si>
    <t>Discount_Percent</t>
  </si>
  <si>
    <t>Region</t>
  </si>
  <si>
    <t>Payment_Method</t>
  </si>
  <si>
    <t>Order_Status</t>
  </si>
  <si>
    <t>CLEAN REGION</t>
  </si>
  <si>
    <t>Gross_Sales</t>
  </si>
  <si>
    <t>Net_Sales</t>
  </si>
  <si>
    <t>Actual_Revenue</t>
  </si>
  <si>
    <t>Discount_Amount</t>
  </si>
  <si>
    <t xml:space="preserve">Actual Discount </t>
  </si>
  <si>
    <t>ORD001</t>
  </si>
  <si>
    <t>C001</t>
  </si>
  <si>
    <t>Rahul Sharma</t>
  </si>
  <si>
    <t>Electronics</t>
  </si>
  <si>
    <t>Earbuds</t>
  </si>
  <si>
    <t>East</t>
  </si>
  <si>
    <t>UPI</t>
  </si>
  <si>
    <t>Delivered</t>
  </si>
  <si>
    <t>ORD002</t>
  </si>
  <si>
    <t>C002</t>
  </si>
  <si>
    <t>Priya Singh</t>
  </si>
  <si>
    <t>Clothing</t>
  </si>
  <si>
    <t>T-Shirt</t>
  </si>
  <si>
    <t>North</t>
  </si>
  <si>
    <t>Card</t>
  </si>
  <si>
    <t>ORD003</t>
  </si>
  <si>
    <t>C003</t>
  </si>
  <si>
    <t>Amit Kumar</t>
  </si>
  <si>
    <t>Mouse</t>
  </si>
  <si>
    <t>West</t>
  </si>
  <si>
    <t>ORD004</t>
  </si>
  <si>
    <t>C004</t>
  </si>
  <si>
    <t>Neha Das</t>
  </si>
  <si>
    <t>Home</t>
  </si>
  <si>
    <t>Lamp</t>
  </si>
  <si>
    <t>South</t>
  </si>
  <si>
    <t>COD</t>
  </si>
  <si>
    <t>ORD005</t>
  </si>
  <si>
    <t>Jeans</t>
  </si>
  <si>
    <t>east</t>
  </si>
  <si>
    <t>ORD006</t>
  </si>
  <si>
    <t>C005</t>
  </si>
  <si>
    <t>Riya Shah</t>
  </si>
  <si>
    <t>Keyboard</t>
  </si>
  <si>
    <t>ORD007</t>
  </si>
  <si>
    <t>C006</t>
  </si>
  <si>
    <t>Karan Mehta</t>
  </si>
  <si>
    <t>Bedsheet</t>
  </si>
  <si>
    <t>NORTH</t>
  </si>
  <si>
    <t>ORD008</t>
  </si>
  <si>
    <t>C007</t>
  </si>
  <si>
    <t>Anjali Roy</t>
  </si>
  <si>
    <t>Beauty</t>
  </si>
  <si>
    <t>Face Wash</t>
  </si>
  <si>
    <t>Cancelled</t>
  </si>
  <si>
    <t>ORD009</t>
  </si>
  <si>
    <t>Power Bank</t>
  </si>
  <si>
    <t>ORD010</t>
  </si>
  <si>
    <t>C008</t>
  </si>
  <si>
    <t>Vikas Patel</t>
  </si>
  <si>
    <t>Shirt</t>
  </si>
  <si>
    <t>Returned</t>
  </si>
  <si>
    <t>ORD011</t>
  </si>
  <si>
    <t>C009</t>
  </si>
  <si>
    <t>Sneha Gupta</t>
  </si>
  <si>
    <t>Shampoo</t>
  </si>
  <si>
    <t>ORD012</t>
  </si>
  <si>
    <t>C010</t>
  </si>
  <si>
    <t>Arjun Verma</t>
  </si>
  <si>
    <t>Wall Clock</t>
  </si>
  <si>
    <t>ORD013</t>
  </si>
  <si>
    <t>ORD014</t>
  </si>
  <si>
    <t>C011</t>
  </si>
  <si>
    <t>Pooja Sen</t>
  </si>
  <si>
    <t>Kurti</t>
  </si>
  <si>
    <t>ORD015</t>
  </si>
  <si>
    <t>C012</t>
  </si>
  <si>
    <t>Rohit Jain</t>
  </si>
  <si>
    <t>Charger</t>
  </si>
  <si>
    <t>Count of Order_ID</t>
  </si>
  <si>
    <t>Sum of Actual_Revenue</t>
  </si>
  <si>
    <t>Sum of Quantity</t>
  </si>
  <si>
    <t>Grand Total</t>
  </si>
  <si>
    <t>Total Orders</t>
  </si>
  <si>
    <t>Delivered Orders</t>
  </si>
  <si>
    <t>Cancelled Orders</t>
  </si>
  <si>
    <t>Returned Orders</t>
  </si>
  <si>
    <t>Average Order Value</t>
  </si>
  <si>
    <t>Delivery Rae</t>
  </si>
  <si>
    <t>Cancellation Rate</t>
  </si>
  <si>
    <t>Return Rate</t>
  </si>
  <si>
    <t>Total Discount Given</t>
  </si>
  <si>
    <t>GROSS SALES</t>
  </si>
  <si>
    <t>Order Success Rate</t>
  </si>
  <si>
    <t xml:space="preserve">Repeat Customer </t>
  </si>
  <si>
    <t>UNIQUE CUSTOMER</t>
  </si>
  <si>
    <t>Repeat Customer Rate</t>
  </si>
  <si>
    <t>TOTAL REVENUE</t>
  </si>
  <si>
    <t>Average Order Value (AOV)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</si>
</sst>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#,##0_);[Red]\(&quot;₹&quot;#,##0\)"/>
    <numFmt numFmtId="181" formatCode="0.00_ "/>
    <numFmt numFmtId="182" formatCode="dd/mm/yyyy"/>
  </numFmts>
  <fonts count="26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10"/>
      <color theme="1"/>
      <name val="Arial"/>
      <charset val="134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80" fontId="3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10" fontId="3" fillId="0" borderId="0" xfId="3" applyNumberFormat="1" applyFont="1" applyAlignment="1">
      <alignment horizontal="center" vertical="center"/>
    </xf>
    <xf numFmtId="9" fontId="3" fillId="0" borderId="0" xfId="3" applyFont="1" applyAlignment="1">
      <alignment horizontal="center" vertical="center"/>
    </xf>
    <xf numFmtId="0" fontId="0" fillId="0" borderId="0" xfId="0" applyNumberFormat="1"/>
    <xf numFmtId="0" fontId="4" fillId="0" borderId="0" xfId="0" applyFont="1"/>
    <xf numFmtId="181" fontId="0" fillId="0" borderId="0" xfId="0" applyNumberFormat="1"/>
    <xf numFmtId="10" fontId="0" fillId="0" borderId="0" xfId="3" applyNumberFormat="1" applyAlignment="1"/>
    <xf numFmtId="0" fontId="5" fillId="0" borderId="0" xfId="0" applyFont="1"/>
    <xf numFmtId="9" fontId="0" fillId="0" borderId="0" xfId="3" applyAlignment="1"/>
    <xf numFmtId="0" fontId="0" fillId="0" borderId="0" xfId="0" applyAlignment="1">
      <alignment vertical="center"/>
    </xf>
    <xf numFmtId="0" fontId="0" fillId="0" borderId="0" xfId="0" applyProtection="1">
      <protection locked="0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182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  <xf numFmtId="9" fontId="0" fillId="0" borderId="0" xfId="0" applyNumberFormat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1.xml"/><Relationship Id="rId7" Type="http://schemas.openxmlformats.org/officeDocument/2006/relationships/pivotCacheDefinition" Target="pivotCache/pivotCacheDefinition3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DATAAA.xlsx]PIVOT_TABLE!PivotTable2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REVENUE BY REGION</a:t>
            </a:r>
            <a:endParaRPr lang="en-IN" altLang="en-US"/>
          </a:p>
        </c:rich>
      </c:tx>
      <c:layout>
        <c:manualLayout>
          <c:xMode val="edge"/>
          <c:yMode val="edge"/>
          <c:x val="0.326534431137725"/>
          <c:y val="0.12700581822145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₹&quot;#,##0_);[Red]\(&quot;₹&quot;#,##0\)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PIVOT_TABLE!$D$4:$D$8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PIVOT_TABLE!$E$4:$E$8</c:f>
              <c:numCache>
                <c:formatCode>General</c:formatCode>
                <c:ptCount val="4"/>
                <c:pt idx="0">
                  <c:v>6155</c:v>
                </c:pt>
                <c:pt idx="1">
                  <c:v>5030</c:v>
                </c:pt>
                <c:pt idx="2">
                  <c:v>3795</c:v>
                </c:pt>
                <c:pt idx="3">
                  <c:v>4490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280407807"/>
        <c:axId val="500257099"/>
      </c:barChart>
      <c:catAx>
        <c:axId val="28040780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0257099"/>
        <c:crosses val="autoZero"/>
        <c:auto val="1"/>
        <c:lblAlgn val="ctr"/>
        <c:lblOffset val="100"/>
        <c:noMultiLvlLbl val="0"/>
      </c:catAx>
      <c:valAx>
        <c:axId val="50025709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0407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ba1fae2-0f0d-43cb-807d-03dfe7e6557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DATAAA.xlsx]PIVOT_TABLE!PivotTable5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b="1"/>
              <a:t>REVENUE BY CATEGORY</a:t>
            </a:r>
            <a:endParaRPr lang="en-IN" altLang="en-US" b="1"/>
          </a:p>
        </c:rich>
      </c:tx>
      <c:layout>
        <c:manualLayout>
          <c:xMode val="edge"/>
          <c:yMode val="edge"/>
          <c:x val="0.280854101271458"/>
          <c:y val="0.11183423099940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58246083594298"/>
          <c:y val="0.210839990300501"/>
          <c:w val="0.558798619824341"/>
          <c:h val="0.59806547619047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PIVOT_TABLE!$E$11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₹&quot;#,##0_);[Red]\(&quot;₹&quot;#,##0\)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PIVOT_TABLE!$D$12:$D$16</c:f>
              <c:strCache>
                <c:ptCount val="4"/>
                <c:pt idx="0">
                  <c:v>Electronics</c:v>
                </c:pt>
                <c:pt idx="1">
                  <c:v>Clothing</c:v>
                </c:pt>
                <c:pt idx="2">
                  <c:v>Home</c:v>
                </c:pt>
                <c:pt idx="3">
                  <c:v>Beauty</c:v>
                </c:pt>
              </c:strCache>
            </c:strRef>
          </c:cat>
          <c:val>
            <c:numRef>
              <c:f>PIVOT_TABLE!$E$12:$E$16</c:f>
              <c:numCache>
                <c:formatCode>General</c:formatCode>
                <c:ptCount val="4"/>
                <c:pt idx="0">
                  <c:v>9500</c:v>
                </c:pt>
                <c:pt idx="1">
                  <c:v>5040</c:v>
                </c:pt>
                <c:pt idx="2">
                  <c:v>4120</c:v>
                </c:pt>
                <c:pt idx="3">
                  <c:v>810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86158173"/>
        <c:axId val="164196212"/>
      </c:barChart>
      <c:catAx>
        <c:axId val="48615817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4196212"/>
        <c:crosses val="autoZero"/>
        <c:auto val="1"/>
        <c:lblAlgn val="ctr"/>
        <c:lblOffset val="100"/>
        <c:noMultiLvlLbl val="0"/>
      </c:catAx>
      <c:valAx>
        <c:axId val="1641962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615817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c1005d2-948b-4468-9345-c93ba4fe236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b="1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DATAAA.xlsx]PIVOT_TABLE!PivotTable6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b="1"/>
              <a:t>PAYMENT METHOD SHARES</a:t>
            </a:r>
            <a:endParaRPr lang="en-IN" alt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PIVOT_TABLE!$H$11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Lbls>
            <c:dLbl>
              <c:idx val="0"/>
              <c:layout>
                <c:manualLayout>
                  <c:x val="-0.1050609389397"/>
                  <c:y val="0.11335231580754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63537257511824"/>
                  <c:y val="-0.14332793442904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148248485987194"/>
                  <c:y val="0.0036300990131472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PIVOT_TABLE!$G$12:$G$15</c:f>
              <c:strCache>
                <c:ptCount val="3"/>
                <c:pt idx="0">
                  <c:v>Card</c:v>
                </c:pt>
                <c:pt idx="1">
                  <c:v>COD</c:v>
                </c:pt>
                <c:pt idx="2">
                  <c:v>UPI</c:v>
                </c:pt>
              </c:strCache>
            </c:strRef>
          </c:cat>
          <c:val>
            <c:numRef>
              <c:f>PIVOT_TABLE!$H$12:$H$15</c:f>
              <c:numCache>
                <c:formatCode>General</c:formatCode>
                <c:ptCount val="3"/>
                <c:pt idx="0">
                  <c:v>5895</c:v>
                </c:pt>
                <c:pt idx="1">
                  <c:v>4785</c:v>
                </c:pt>
                <c:pt idx="2">
                  <c:v>8790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b6a5c84-00bf-488d-b423-1a2976c4c62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b="1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DATAAA.xlsx]PIVOT_TABLE!PivotTable7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sz="1200"/>
              <a:t>TOP 5 CUSTOMERS</a:t>
            </a:r>
            <a:endParaRPr lang="en-IN" altLang="en-US" sz="1200"/>
          </a:p>
        </c:rich>
      </c:tx>
      <c:layout>
        <c:manualLayout>
          <c:xMode val="edge"/>
          <c:yMode val="edge"/>
          <c:x val="0.395843948072689"/>
          <c:y val="0.09732347381926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494171972578498"/>
          <c:y val="0.25511088141549"/>
          <c:w val="0.402802549714495"/>
          <c:h val="0.65159317160515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PIVOT_TABLE!$E$18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PIVOT_TABLE!$D$19:$D$24</c:f>
              <c:strCache>
                <c:ptCount val="5"/>
                <c:pt idx="0">
                  <c:v>Rahul Sharma</c:v>
                </c:pt>
                <c:pt idx="1">
                  <c:v>Priya Singh</c:v>
                </c:pt>
                <c:pt idx="2">
                  <c:v>Amit Kumar</c:v>
                </c:pt>
                <c:pt idx="3">
                  <c:v>Riya Shah</c:v>
                </c:pt>
                <c:pt idx="4">
                  <c:v>Karan Mehta</c:v>
                </c:pt>
              </c:strCache>
            </c:strRef>
          </c:cat>
          <c:val>
            <c:numRef>
              <c:f>PIVOT_TABLE!$E$19:$E$24</c:f>
              <c:numCache>
                <c:formatCode>General</c:formatCode>
                <c:ptCount val="5"/>
                <c:pt idx="0">
                  <c:v>3780</c:v>
                </c:pt>
                <c:pt idx="1">
                  <c:v>3230</c:v>
                </c:pt>
                <c:pt idx="2">
                  <c:v>2400</c:v>
                </c:pt>
                <c:pt idx="3">
                  <c:v>2090</c:v>
                </c:pt>
                <c:pt idx="4">
                  <c:v>1800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175212252"/>
        <c:axId val="220121752"/>
      </c:barChart>
      <c:catAx>
        <c:axId val="175212252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0121752"/>
        <c:crosses val="autoZero"/>
        <c:auto val="1"/>
        <c:lblAlgn val="ctr"/>
        <c:lblOffset val="100"/>
        <c:noMultiLvlLbl val="0"/>
      </c:catAx>
      <c:valAx>
        <c:axId val="2201217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52122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e6eb4ba-19e7-4d85-b620-8ddd7ed05e1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429895</xdr:colOff>
      <xdr:row>6</xdr:row>
      <xdr:rowOff>1905</xdr:rowOff>
    </xdr:from>
    <xdr:to>
      <xdr:col>6</xdr:col>
      <xdr:colOff>165735</xdr:colOff>
      <xdr:row>19</xdr:row>
      <xdr:rowOff>85725</xdr:rowOff>
    </xdr:to>
    <xdr:graphicFrame>
      <xdr:nvGraphicFramePr>
        <xdr:cNvPr id="2" name="Chart 1"/>
        <xdr:cNvGraphicFramePr/>
      </xdr:nvGraphicFramePr>
      <xdr:xfrm>
        <a:off x="429895" y="1144905"/>
        <a:ext cx="3393440" cy="24612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201295</xdr:colOff>
      <xdr:row>6</xdr:row>
      <xdr:rowOff>12700</xdr:rowOff>
    </xdr:from>
    <xdr:to>
      <xdr:col>12</xdr:col>
      <xdr:colOff>334010</xdr:colOff>
      <xdr:row>19</xdr:row>
      <xdr:rowOff>67310</xdr:rowOff>
    </xdr:to>
    <xdr:graphicFrame>
      <xdr:nvGraphicFramePr>
        <xdr:cNvPr id="5" name="Chart 4"/>
        <xdr:cNvGraphicFramePr/>
      </xdr:nvGraphicFramePr>
      <xdr:xfrm>
        <a:off x="3858895" y="1155700"/>
        <a:ext cx="3790315" cy="2432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362585</xdr:colOff>
      <xdr:row>6</xdr:row>
      <xdr:rowOff>8890</xdr:rowOff>
    </xdr:from>
    <xdr:to>
      <xdr:col>17</xdr:col>
      <xdr:colOff>193040</xdr:colOff>
      <xdr:row>19</xdr:row>
      <xdr:rowOff>47625</xdr:rowOff>
    </xdr:to>
    <xdr:graphicFrame>
      <xdr:nvGraphicFramePr>
        <xdr:cNvPr id="6" name="Chart 5"/>
        <xdr:cNvGraphicFramePr/>
      </xdr:nvGraphicFramePr>
      <xdr:xfrm>
        <a:off x="7677785" y="1151890"/>
        <a:ext cx="3023235" cy="24161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245110</xdr:colOff>
      <xdr:row>6</xdr:row>
      <xdr:rowOff>10160</xdr:rowOff>
    </xdr:from>
    <xdr:to>
      <xdr:col>23</xdr:col>
      <xdr:colOff>575310</xdr:colOff>
      <xdr:row>19</xdr:row>
      <xdr:rowOff>76200</xdr:rowOff>
    </xdr:to>
    <xdr:graphicFrame>
      <xdr:nvGraphicFramePr>
        <xdr:cNvPr id="7" name="Chart 6"/>
        <xdr:cNvGraphicFramePr/>
      </xdr:nvGraphicFramePr>
      <xdr:xfrm>
        <a:off x="10753090" y="1153160"/>
        <a:ext cx="3987800" cy="2443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 TABLE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IVOT TABLE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1.6062268519" refreshedBy="omjais123" recordCount="15">
  <cacheSource type="worksheet">
    <worksheetSource ref="A1:P16" sheet="Raw_Data"/>
  </cacheSource>
  <cacheFields count="16">
    <cacheField name="Order_ID" numFmtId="0">
      <sharedItems count="15">
        <s v="ORD001"/>
        <s v="ORD002"/>
        <s v="ORD003"/>
        <s v="ORD004"/>
        <s v="ORD005"/>
        <s v="ORD006"/>
        <s v="ORD007"/>
        <s v="ORD008"/>
        <s v="ORD009"/>
        <s v="ORD010"/>
        <s v="ORD011"/>
        <s v="ORD012"/>
        <s v="ORD013"/>
        <s v="ORD014"/>
        <s v="ORD015"/>
      </sharedItems>
    </cacheField>
    <cacheField name="Order_Date" numFmtId="182">
      <sharedItems containsSemiMixedTypes="0" containsString="0" containsNonDate="0" containsDate="1" minDate="2026-09-01T00:00:00" maxDate="2026-09-10T00:00:00" count="10"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</sharedItems>
    </cacheField>
    <cacheField name="Customer_ID" numFmtId="0">
      <sharedItems count="12">
        <s v="C001"/>
        <s v="C002"/>
        <s v="C003"/>
        <s v="C004"/>
        <s v="C005"/>
        <s v="C006"/>
        <s v="C007"/>
        <s v="C008"/>
        <s v="C009"/>
        <s v="C010"/>
        <s v="C011"/>
        <s v="C012"/>
      </sharedItems>
    </cacheField>
    <cacheField name="Customer_Name" numFmtId="0">
      <sharedItems count="12">
        <s v="Rahul Sharma"/>
        <s v="Priya Singh"/>
        <s v="Amit Kumar"/>
        <s v="Neha Das"/>
        <s v="Riya Shah"/>
        <s v="Karan Mehta"/>
        <s v="Anjali Roy"/>
        <s v="Vikas Patel"/>
        <s v="Sneha Gupta"/>
        <s v="Arjun Verma"/>
        <s v="Pooja Sen"/>
        <s v="Rohit Jain"/>
      </sharedItems>
    </cacheField>
    <cacheField name="Category" numFmtId="0">
      <sharedItems count="4">
        <s v="Electronics"/>
        <s v="Clothing"/>
        <s v="Home"/>
        <s v="Beauty"/>
      </sharedItems>
    </cacheField>
    <cacheField name="Product" numFmtId="0">
      <sharedItems count="14">
        <s v="Earbuds"/>
        <s v="T-Shirt"/>
        <s v="Mouse"/>
        <s v="Lamp"/>
        <s v="Jeans"/>
        <s v="Keyboard"/>
        <s v="Bedsheet"/>
        <s v="Face Wash"/>
        <s v="Power Bank"/>
        <s v="Shirt"/>
        <s v="Shampoo"/>
        <s v="Wall Clock"/>
        <s v="Kurti"/>
        <s v="Charger"/>
      </sharedItems>
    </cacheField>
    <cacheField name="Quantity" numFmtId="0">
      <sharedItems containsSemiMixedTypes="0" containsString="0" containsNumber="1" containsInteger="1" minValue="0" maxValue="3" count="3">
        <n v="2"/>
        <n v="3"/>
        <n v="1"/>
      </sharedItems>
    </cacheField>
    <cacheField name="Unit_Price" numFmtId="0">
      <sharedItems containsSemiMixedTypes="0" containsString="0" containsNumber="1" containsInteger="1" minValue="0" maxValue="2200" count="14">
        <n v="1200"/>
        <n v="600"/>
        <n v="800"/>
        <n v="1500"/>
        <n v="1800"/>
        <n v="2200"/>
        <n v="900"/>
        <n v="350"/>
        <n v="1600"/>
        <n v="750"/>
        <n v="450"/>
        <n v="1100"/>
        <n v="950"/>
        <n v="700"/>
      </sharedItems>
    </cacheField>
    <cacheField name="Discount_Percent" numFmtId="9">
      <sharedItems containsSemiMixedTypes="0" containsString="0" containsNumber="1" minValue="0" maxValue="0.15" count="4">
        <n v="0.1"/>
        <n v="0.05"/>
        <n v="0"/>
        <n v="0.15"/>
      </sharedItems>
    </cacheField>
    <cacheField name="Region" numFmtId="0">
      <sharedItems count="4">
        <s v="East"/>
        <s v="North"/>
        <s v="West"/>
        <s v="South"/>
      </sharedItems>
    </cacheField>
    <cacheField name="Payment_Method" numFmtId="0">
      <sharedItems count="3">
        <s v="UPI"/>
        <s v="Card"/>
        <s v="COD"/>
      </sharedItems>
    </cacheField>
    <cacheField name="Order_Status" numFmtId="0">
      <sharedItems count="3">
        <s v="Delivered"/>
        <s v="Cancelled"/>
        <s v="Returned"/>
      </sharedItems>
    </cacheField>
    <cacheField name="CLEAN REGION" numFmtId="0">
      <sharedItems count="4">
        <s v="East"/>
        <s v="North"/>
        <s v="West"/>
        <s v="South"/>
      </sharedItems>
    </cacheField>
    <cacheField name="Gross_Sales" numFmtId="0">
      <sharedItems containsSemiMixedTypes="0" containsString="0" containsNumber="1" containsInteger="1" minValue="0" maxValue="2400" count="11">
        <n v="2400"/>
        <n v="1800"/>
        <n v="1600"/>
        <n v="1500"/>
        <n v="2200"/>
        <n v="1050"/>
        <n v="900"/>
        <n v="1100"/>
        <n v="800"/>
        <n v="1900"/>
        <n v="1400"/>
      </sharedItems>
    </cacheField>
    <cacheField name="Net_Sales" numFmtId="0">
      <sharedItems containsSemiMixedTypes="0" containsString="0" containsNumber="1" containsInteger="1" minValue="0" maxValue="2160" count="14">
        <n v="2160"/>
        <n v="1710"/>
        <n v="1600"/>
        <n v="1275"/>
        <n v="1620"/>
        <n v="2090"/>
        <n v="1800"/>
        <n v="945"/>
        <n v="1520"/>
        <n v="1500"/>
        <n v="810"/>
        <n v="1045"/>
        <n v="800"/>
        <n v="1330"/>
      </sharedItems>
    </cacheField>
    <cacheField name="Actual_Revenue" numFmtId="0">
      <sharedItems containsSemiMixedTypes="0" containsString="0" containsNumber="1" containsInteger="1" minValue="0" maxValue="2160" count="13">
        <n v="2160"/>
        <n v="1710"/>
        <n v="1600"/>
        <n v="1275"/>
        <n v="1620"/>
        <n v="2090"/>
        <n v="1800"/>
        <n v="0"/>
        <n v="1520"/>
        <n v="810"/>
        <n v="1045"/>
        <n v="800"/>
        <n v="133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4.962025463" refreshedBy="omjais123" recordCount="15">
  <cacheSource type="worksheet">
    <worksheetSource ref="F1:R16" sheet="Raw_Data"/>
  </cacheSource>
  <cacheFields count="13">
    <cacheField name="Product" numFmtId="0">
      <sharedItems count="14">
        <s v="Earbuds"/>
        <s v="T-Shirt"/>
        <s v="Mouse"/>
        <s v="Lamp"/>
        <s v="Jeans"/>
        <s v="Keyboard"/>
        <s v="Bedsheet"/>
        <s v="Face Wash"/>
        <s v="Power Bank"/>
        <s v="Shirt"/>
        <s v="Shampoo"/>
        <s v="Wall Clock"/>
        <s v="Kurti"/>
        <s v="Charger"/>
      </sharedItems>
    </cacheField>
    <cacheField name="Quantity" numFmtId="0">
      <sharedItems containsSemiMixedTypes="0" containsString="0" containsNumber="1" containsInteger="1" minValue="0" maxValue="3" count="3">
        <n v="2"/>
        <n v="3"/>
        <n v="1"/>
      </sharedItems>
    </cacheField>
    <cacheField name="Unit_Price" numFmtId="0">
      <sharedItems containsSemiMixedTypes="0" containsString="0" containsNumber="1" containsInteger="1" minValue="0" maxValue="2200" count="14">
        <n v="1200"/>
        <n v="600"/>
        <n v="800"/>
        <n v="1500"/>
        <n v="1800"/>
        <n v="2200"/>
        <n v="900"/>
        <n v="350"/>
        <n v="1600"/>
        <n v="750"/>
        <n v="450"/>
        <n v="1100"/>
        <n v="950"/>
        <n v="700"/>
      </sharedItems>
    </cacheField>
    <cacheField name="Discount_Percent" numFmtId="9">
      <sharedItems containsSemiMixedTypes="0" containsString="0" containsNumber="1" minValue="0" maxValue="0.15" count="4">
        <n v="0.1"/>
        <n v="0.05"/>
        <n v="0"/>
        <n v="0.15"/>
      </sharedItems>
    </cacheField>
    <cacheField name="Region" numFmtId="0">
      <sharedItems count="4">
        <s v="East"/>
        <s v="North"/>
        <s v="West"/>
        <s v="South"/>
      </sharedItems>
    </cacheField>
    <cacheField name="Payment_Method" numFmtId="0">
      <sharedItems count="3">
        <s v="UPI"/>
        <s v="Card"/>
        <s v="COD"/>
      </sharedItems>
    </cacheField>
    <cacheField name="Order_Status" numFmtId="0">
      <sharedItems count="3">
        <s v="Delivered"/>
        <s v="Cancelled"/>
        <s v="Returned"/>
      </sharedItems>
    </cacheField>
    <cacheField name="CLEAN REGION" numFmtId="0">
      <sharedItems count="4">
        <s v="East"/>
        <s v="North"/>
        <s v="West"/>
        <s v="South"/>
      </sharedItems>
    </cacheField>
    <cacheField name="Gross_Sales" numFmtId="0">
      <sharedItems containsSemiMixedTypes="0" containsString="0" containsNumber="1" containsInteger="1" minValue="0" maxValue="2400" count="11">
        <n v="2400"/>
        <n v="1800"/>
        <n v="1600"/>
        <n v="1500"/>
        <n v="2200"/>
        <n v="1050"/>
        <n v="900"/>
        <n v="1100"/>
        <n v="800"/>
        <n v="1900"/>
        <n v="1400"/>
      </sharedItems>
    </cacheField>
    <cacheField name="Net_Sales" numFmtId="0">
      <sharedItems containsSemiMixedTypes="0" containsString="0" containsNumber="1" containsInteger="1" minValue="0" maxValue="2160" count="14">
        <n v="2160"/>
        <n v="1710"/>
        <n v="1600"/>
        <n v="1275"/>
        <n v="1620"/>
        <n v="2090"/>
        <n v="1800"/>
        <n v="945"/>
        <n v="1520"/>
        <n v="1500"/>
        <n v="810"/>
        <n v="1045"/>
        <n v="800"/>
        <n v="1330"/>
      </sharedItems>
    </cacheField>
    <cacheField name="Actual_Revenue" numFmtId="0">
      <sharedItems containsSemiMixedTypes="0" containsString="0" containsNumber="1" containsInteger="1" minValue="0" maxValue="2160" count="13">
        <n v="2160"/>
        <n v="1710"/>
        <n v="1600"/>
        <n v="1275"/>
        <n v="1620"/>
        <n v="2090"/>
        <n v="1800"/>
        <n v="0"/>
        <n v="1520"/>
        <n v="810"/>
        <n v="1045"/>
        <n v="800"/>
        <n v="1330"/>
      </sharedItems>
    </cacheField>
    <cacheField name="Discount_Amount" numFmtId="0">
      <sharedItems containsSemiMixedTypes="0" containsString="0" containsNumber="1" containsInteger="1" minValue="0" maxValue="240" count="11">
        <n v="240"/>
        <n v="90"/>
        <n v="0"/>
        <n v="225"/>
        <n v="180"/>
        <n v="110"/>
        <n v="105"/>
        <n v="80"/>
        <n v="55"/>
        <n v="190"/>
        <n v="70"/>
      </sharedItems>
    </cacheField>
    <cacheField name="Actual Discount " numFmtId="0">
      <sharedItems containsSemiMixedTypes="0" containsString="0" containsNumber="1" containsInteger="1" minValue="0" maxValue="240" count="10">
        <n v="240"/>
        <n v="90"/>
        <n v="0"/>
        <n v="225"/>
        <n v="180"/>
        <n v="110"/>
        <n v="80"/>
        <n v="55"/>
        <n v="190"/>
        <n v="7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5.9945601852" refreshedBy="omjais123" recordCount="15">
  <cacheSource type="worksheet">
    <worksheetSource ref="A1:R16" sheet="Raw_Data"/>
  </cacheSource>
  <cacheFields count="18">
    <cacheField name="Order_ID" numFmtId="0">
      <sharedItems count="15">
        <s v="ORD001"/>
        <s v="ORD002"/>
        <s v="ORD003"/>
        <s v="ORD004"/>
        <s v="ORD005"/>
        <s v="ORD006"/>
        <s v="ORD007"/>
        <s v="ORD008"/>
        <s v="ORD009"/>
        <s v="ORD010"/>
        <s v="ORD011"/>
        <s v="ORD012"/>
        <s v="ORD013"/>
        <s v="ORD014"/>
        <s v="ORD015"/>
      </sharedItems>
    </cacheField>
    <cacheField name="Order_Date" numFmtId="182">
      <sharedItems containsSemiMixedTypes="0" containsString="0" containsNonDate="0" containsDate="1" minDate="2026-09-01T00:00:00" maxDate="2026-09-10T00:00:00" count="10"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</sharedItems>
    </cacheField>
    <cacheField name="Customer_ID" numFmtId="0">
      <sharedItems count="12">
        <s v="C001"/>
        <s v="C002"/>
        <s v="C003"/>
        <s v="C004"/>
        <s v="C005"/>
        <s v="C006"/>
        <s v="C007"/>
        <s v="C008"/>
        <s v="C009"/>
        <s v="C010"/>
        <s v="C011"/>
        <s v="C012"/>
      </sharedItems>
    </cacheField>
    <cacheField name="Customer_Name" numFmtId="0">
      <sharedItems count="12">
        <s v="Rahul Sharma"/>
        <s v="Priya Singh"/>
        <s v="Amit Kumar"/>
        <s v="Neha Das"/>
        <s v="Riya Shah"/>
        <s v="Karan Mehta"/>
        <s v="Anjali Roy"/>
        <s v="Vikas Patel"/>
        <s v="Sneha Gupta"/>
        <s v="Arjun Verma"/>
        <s v="Pooja Sen"/>
        <s v="Rohit Jain"/>
      </sharedItems>
    </cacheField>
    <cacheField name="Category" numFmtId="0">
      <sharedItems count="4">
        <s v="Electronics"/>
        <s v="Clothing"/>
        <s v="Home"/>
        <s v="Beauty"/>
      </sharedItems>
    </cacheField>
    <cacheField name="Product" numFmtId="0">
      <sharedItems count="14">
        <s v="Earbuds"/>
        <s v="T-Shirt"/>
        <s v="Mouse"/>
        <s v="Lamp"/>
        <s v="Jeans"/>
        <s v="Keyboard"/>
        <s v="Bedsheet"/>
        <s v="Face Wash"/>
        <s v="Power Bank"/>
        <s v="Shirt"/>
        <s v="Shampoo"/>
        <s v="Wall Clock"/>
        <s v="Kurti"/>
        <s v="Charger"/>
      </sharedItems>
    </cacheField>
    <cacheField name="Quantity" numFmtId="0">
      <sharedItems containsSemiMixedTypes="0" containsString="0" containsNumber="1" containsInteger="1" minValue="0" maxValue="3" count="3">
        <n v="2"/>
        <n v="3"/>
        <n v="1"/>
      </sharedItems>
    </cacheField>
    <cacheField name="Unit_Price" numFmtId="0">
      <sharedItems containsSemiMixedTypes="0" containsString="0" containsNumber="1" containsInteger="1" minValue="0" maxValue="2200" count="14">
        <n v="1200"/>
        <n v="600"/>
        <n v="800"/>
        <n v="1500"/>
        <n v="1800"/>
        <n v="2200"/>
        <n v="900"/>
        <n v="350"/>
        <n v="1600"/>
        <n v="750"/>
        <n v="450"/>
        <n v="1100"/>
        <n v="950"/>
        <n v="700"/>
      </sharedItems>
    </cacheField>
    <cacheField name="Discount_Percent" numFmtId="9">
      <sharedItems containsSemiMixedTypes="0" containsString="0" containsNumber="1" minValue="0" maxValue="0.15" count="4">
        <n v="0.1"/>
        <n v="0.05"/>
        <n v="0"/>
        <n v="0.15"/>
      </sharedItems>
    </cacheField>
    <cacheField name="Region" numFmtId="0">
      <sharedItems count="4">
        <s v="East"/>
        <s v="North"/>
        <s v="West"/>
        <s v="South"/>
      </sharedItems>
    </cacheField>
    <cacheField name="Payment_Method" numFmtId="0">
      <sharedItems count="3">
        <s v="UPI"/>
        <s v="Card"/>
        <s v="COD"/>
      </sharedItems>
    </cacheField>
    <cacheField name="Order_Status" numFmtId="0">
      <sharedItems count="3">
        <s v="Delivered"/>
        <s v="Cancelled"/>
        <s v="Returned"/>
      </sharedItems>
    </cacheField>
    <cacheField name="CLEAN REGION" numFmtId="0">
      <sharedItems count="4">
        <s v="East"/>
        <s v="North"/>
        <s v="West"/>
        <s v="South"/>
      </sharedItems>
    </cacheField>
    <cacheField name="Gross_Sales" numFmtId="0">
      <sharedItems containsSemiMixedTypes="0" containsString="0" containsNumber="1" containsInteger="1" minValue="0" maxValue="2400" count="11">
        <n v="2400"/>
        <n v="1800"/>
        <n v="1600"/>
        <n v="1500"/>
        <n v="2200"/>
        <n v="1050"/>
        <n v="900"/>
        <n v="1100"/>
        <n v="800"/>
        <n v="1900"/>
        <n v="1400"/>
      </sharedItems>
    </cacheField>
    <cacheField name="Net_Sales" numFmtId="0">
      <sharedItems containsSemiMixedTypes="0" containsString="0" containsNumber="1" containsInteger="1" minValue="0" maxValue="2160" count="14">
        <n v="2160"/>
        <n v="1710"/>
        <n v="1600"/>
        <n v="1275"/>
        <n v="1620"/>
        <n v="2090"/>
        <n v="1800"/>
        <n v="945"/>
        <n v="1520"/>
        <n v="1500"/>
        <n v="810"/>
        <n v="1045"/>
        <n v="800"/>
        <n v="1330"/>
      </sharedItems>
    </cacheField>
    <cacheField name="Actual_Revenue" numFmtId="0">
      <sharedItems containsSemiMixedTypes="0" containsString="0" containsNumber="1" containsInteger="1" minValue="0" maxValue="2160" count="13">
        <n v="2160"/>
        <n v="1710"/>
        <n v="1600"/>
        <n v="1275"/>
        <n v="1620"/>
        <n v="2090"/>
        <n v="1800"/>
        <n v="0"/>
        <n v="1520"/>
        <n v="810"/>
        <n v="1045"/>
        <n v="800"/>
        <n v="1330"/>
      </sharedItems>
    </cacheField>
    <cacheField name="Discount_Amount" numFmtId="0">
      <sharedItems containsSemiMixedTypes="0" containsString="0" containsNumber="1" containsInteger="1" minValue="0" maxValue="240" count="11">
        <n v="240"/>
        <n v="90"/>
        <n v="0"/>
        <n v="225"/>
        <n v="180"/>
        <n v="110"/>
        <n v="105"/>
        <n v="80"/>
        <n v="55"/>
        <n v="190"/>
        <n v="70"/>
      </sharedItems>
    </cacheField>
    <cacheField name="Actual Discount " numFmtId="0">
      <sharedItems containsSemiMixedTypes="0" containsString="0" containsNumber="1" containsInteger="1" minValue="0" maxValue="240" count="10">
        <n v="240"/>
        <n v="90"/>
        <n v="0"/>
        <n v="225"/>
        <n v="180"/>
        <n v="110"/>
        <n v="80"/>
        <n v="55"/>
        <n v="190"/>
        <n v="7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1"/>
    <x v="1"/>
    <x v="1"/>
    <x v="1"/>
    <x v="0"/>
    <x v="1"/>
    <x v="1"/>
    <x v="1"/>
    <x v="1"/>
  </r>
  <r>
    <x v="2"/>
    <x v="1"/>
    <x v="2"/>
    <x v="2"/>
    <x v="0"/>
    <x v="2"/>
    <x v="0"/>
    <x v="2"/>
    <x v="2"/>
    <x v="2"/>
    <x v="0"/>
    <x v="0"/>
    <x v="2"/>
    <x v="2"/>
    <x v="2"/>
    <x v="2"/>
  </r>
  <r>
    <x v="3"/>
    <x v="1"/>
    <x v="3"/>
    <x v="3"/>
    <x v="2"/>
    <x v="3"/>
    <x v="2"/>
    <x v="3"/>
    <x v="3"/>
    <x v="3"/>
    <x v="2"/>
    <x v="0"/>
    <x v="3"/>
    <x v="3"/>
    <x v="3"/>
    <x v="3"/>
  </r>
  <r>
    <x v="4"/>
    <x v="2"/>
    <x v="0"/>
    <x v="0"/>
    <x v="1"/>
    <x v="4"/>
    <x v="2"/>
    <x v="4"/>
    <x v="0"/>
    <x v="0"/>
    <x v="1"/>
    <x v="0"/>
    <x v="0"/>
    <x v="1"/>
    <x v="4"/>
    <x v="4"/>
  </r>
  <r>
    <x v="5"/>
    <x v="3"/>
    <x v="4"/>
    <x v="4"/>
    <x v="0"/>
    <x v="5"/>
    <x v="2"/>
    <x v="5"/>
    <x v="1"/>
    <x v="2"/>
    <x v="0"/>
    <x v="0"/>
    <x v="2"/>
    <x v="4"/>
    <x v="5"/>
    <x v="5"/>
  </r>
  <r>
    <x v="6"/>
    <x v="3"/>
    <x v="5"/>
    <x v="5"/>
    <x v="2"/>
    <x v="6"/>
    <x v="0"/>
    <x v="6"/>
    <x v="2"/>
    <x v="1"/>
    <x v="2"/>
    <x v="0"/>
    <x v="1"/>
    <x v="1"/>
    <x v="6"/>
    <x v="6"/>
  </r>
  <r>
    <x v="7"/>
    <x v="4"/>
    <x v="6"/>
    <x v="6"/>
    <x v="3"/>
    <x v="7"/>
    <x v="1"/>
    <x v="7"/>
    <x v="0"/>
    <x v="0"/>
    <x v="0"/>
    <x v="1"/>
    <x v="0"/>
    <x v="5"/>
    <x v="7"/>
    <x v="7"/>
  </r>
  <r>
    <x v="8"/>
    <x v="5"/>
    <x v="1"/>
    <x v="1"/>
    <x v="0"/>
    <x v="8"/>
    <x v="2"/>
    <x v="8"/>
    <x v="1"/>
    <x v="1"/>
    <x v="1"/>
    <x v="0"/>
    <x v="1"/>
    <x v="2"/>
    <x v="8"/>
    <x v="8"/>
  </r>
  <r>
    <x v="9"/>
    <x v="6"/>
    <x v="7"/>
    <x v="7"/>
    <x v="1"/>
    <x v="9"/>
    <x v="0"/>
    <x v="9"/>
    <x v="2"/>
    <x v="2"/>
    <x v="2"/>
    <x v="2"/>
    <x v="2"/>
    <x v="3"/>
    <x v="9"/>
    <x v="7"/>
  </r>
  <r>
    <x v="10"/>
    <x v="7"/>
    <x v="8"/>
    <x v="8"/>
    <x v="3"/>
    <x v="10"/>
    <x v="0"/>
    <x v="10"/>
    <x v="0"/>
    <x v="3"/>
    <x v="0"/>
    <x v="0"/>
    <x v="3"/>
    <x v="6"/>
    <x v="10"/>
    <x v="9"/>
  </r>
  <r>
    <x v="11"/>
    <x v="7"/>
    <x v="9"/>
    <x v="9"/>
    <x v="2"/>
    <x v="11"/>
    <x v="2"/>
    <x v="11"/>
    <x v="1"/>
    <x v="0"/>
    <x v="1"/>
    <x v="0"/>
    <x v="0"/>
    <x v="7"/>
    <x v="11"/>
    <x v="10"/>
  </r>
  <r>
    <x v="12"/>
    <x v="8"/>
    <x v="2"/>
    <x v="2"/>
    <x v="0"/>
    <x v="2"/>
    <x v="2"/>
    <x v="2"/>
    <x v="2"/>
    <x v="2"/>
    <x v="0"/>
    <x v="0"/>
    <x v="2"/>
    <x v="8"/>
    <x v="12"/>
    <x v="11"/>
  </r>
  <r>
    <x v="13"/>
    <x v="9"/>
    <x v="10"/>
    <x v="10"/>
    <x v="1"/>
    <x v="12"/>
    <x v="0"/>
    <x v="12"/>
    <x v="0"/>
    <x v="3"/>
    <x v="2"/>
    <x v="0"/>
    <x v="3"/>
    <x v="9"/>
    <x v="1"/>
    <x v="1"/>
  </r>
  <r>
    <x v="14"/>
    <x v="9"/>
    <x v="11"/>
    <x v="11"/>
    <x v="0"/>
    <x v="13"/>
    <x v="0"/>
    <x v="13"/>
    <x v="1"/>
    <x v="0"/>
    <x v="0"/>
    <x v="0"/>
    <x v="0"/>
    <x v="10"/>
    <x v="13"/>
    <x v="1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5">
  <r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0"/>
    <x v="1"/>
    <x v="1"/>
    <x v="1"/>
    <x v="1"/>
    <x v="1"/>
    <x v="1"/>
  </r>
  <r>
    <x v="2"/>
    <x v="0"/>
    <x v="2"/>
    <x v="2"/>
    <x v="2"/>
    <x v="0"/>
    <x v="0"/>
    <x v="2"/>
    <x v="2"/>
    <x v="2"/>
    <x v="2"/>
    <x v="2"/>
    <x v="2"/>
  </r>
  <r>
    <x v="3"/>
    <x v="2"/>
    <x v="3"/>
    <x v="3"/>
    <x v="3"/>
    <x v="2"/>
    <x v="0"/>
    <x v="3"/>
    <x v="3"/>
    <x v="3"/>
    <x v="3"/>
    <x v="3"/>
    <x v="3"/>
  </r>
  <r>
    <x v="4"/>
    <x v="2"/>
    <x v="4"/>
    <x v="0"/>
    <x v="0"/>
    <x v="1"/>
    <x v="0"/>
    <x v="0"/>
    <x v="1"/>
    <x v="4"/>
    <x v="4"/>
    <x v="4"/>
    <x v="4"/>
  </r>
  <r>
    <x v="5"/>
    <x v="2"/>
    <x v="5"/>
    <x v="1"/>
    <x v="2"/>
    <x v="0"/>
    <x v="0"/>
    <x v="2"/>
    <x v="4"/>
    <x v="5"/>
    <x v="5"/>
    <x v="5"/>
    <x v="5"/>
  </r>
  <r>
    <x v="6"/>
    <x v="0"/>
    <x v="6"/>
    <x v="2"/>
    <x v="1"/>
    <x v="2"/>
    <x v="0"/>
    <x v="1"/>
    <x v="1"/>
    <x v="6"/>
    <x v="6"/>
    <x v="2"/>
    <x v="2"/>
  </r>
  <r>
    <x v="7"/>
    <x v="1"/>
    <x v="7"/>
    <x v="0"/>
    <x v="0"/>
    <x v="0"/>
    <x v="1"/>
    <x v="0"/>
    <x v="5"/>
    <x v="7"/>
    <x v="7"/>
    <x v="6"/>
    <x v="2"/>
  </r>
  <r>
    <x v="8"/>
    <x v="2"/>
    <x v="8"/>
    <x v="1"/>
    <x v="1"/>
    <x v="1"/>
    <x v="0"/>
    <x v="1"/>
    <x v="2"/>
    <x v="8"/>
    <x v="8"/>
    <x v="7"/>
    <x v="6"/>
  </r>
  <r>
    <x v="9"/>
    <x v="0"/>
    <x v="9"/>
    <x v="2"/>
    <x v="2"/>
    <x v="2"/>
    <x v="2"/>
    <x v="2"/>
    <x v="3"/>
    <x v="9"/>
    <x v="7"/>
    <x v="2"/>
    <x v="2"/>
  </r>
  <r>
    <x v="10"/>
    <x v="0"/>
    <x v="10"/>
    <x v="0"/>
    <x v="3"/>
    <x v="0"/>
    <x v="0"/>
    <x v="3"/>
    <x v="6"/>
    <x v="10"/>
    <x v="9"/>
    <x v="1"/>
    <x v="1"/>
  </r>
  <r>
    <x v="11"/>
    <x v="2"/>
    <x v="11"/>
    <x v="1"/>
    <x v="0"/>
    <x v="1"/>
    <x v="0"/>
    <x v="0"/>
    <x v="7"/>
    <x v="11"/>
    <x v="10"/>
    <x v="8"/>
    <x v="7"/>
  </r>
  <r>
    <x v="2"/>
    <x v="2"/>
    <x v="2"/>
    <x v="2"/>
    <x v="2"/>
    <x v="0"/>
    <x v="0"/>
    <x v="2"/>
    <x v="8"/>
    <x v="12"/>
    <x v="11"/>
    <x v="2"/>
    <x v="2"/>
  </r>
  <r>
    <x v="12"/>
    <x v="0"/>
    <x v="12"/>
    <x v="0"/>
    <x v="3"/>
    <x v="2"/>
    <x v="0"/>
    <x v="3"/>
    <x v="9"/>
    <x v="1"/>
    <x v="1"/>
    <x v="9"/>
    <x v="8"/>
  </r>
  <r>
    <x v="13"/>
    <x v="0"/>
    <x v="13"/>
    <x v="1"/>
    <x v="0"/>
    <x v="0"/>
    <x v="0"/>
    <x v="0"/>
    <x v="10"/>
    <x v="13"/>
    <x v="12"/>
    <x v="10"/>
    <x v="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5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1"/>
    <x v="1"/>
    <x v="1"/>
    <x v="1"/>
    <x v="0"/>
    <x v="1"/>
    <x v="1"/>
    <x v="1"/>
    <x v="1"/>
    <x v="1"/>
    <x v="1"/>
  </r>
  <r>
    <x v="2"/>
    <x v="1"/>
    <x v="2"/>
    <x v="2"/>
    <x v="0"/>
    <x v="2"/>
    <x v="0"/>
    <x v="2"/>
    <x v="2"/>
    <x v="2"/>
    <x v="0"/>
    <x v="0"/>
    <x v="2"/>
    <x v="2"/>
    <x v="2"/>
    <x v="2"/>
    <x v="2"/>
    <x v="2"/>
  </r>
  <r>
    <x v="3"/>
    <x v="1"/>
    <x v="3"/>
    <x v="3"/>
    <x v="2"/>
    <x v="3"/>
    <x v="2"/>
    <x v="3"/>
    <x v="3"/>
    <x v="3"/>
    <x v="2"/>
    <x v="0"/>
    <x v="3"/>
    <x v="3"/>
    <x v="3"/>
    <x v="3"/>
    <x v="3"/>
    <x v="3"/>
  </r>
  <r>
    <x v="4"/>
    <x v="2"/>
    <x v="0"/>
    <x v="0"/>
    <x v="1"/>
    <x v="4"/>
    <x v="2"/>
    <x v="4"/>
    <x v="0"/>
    <x v="0"/>
    <x v="1"/>
    <x v="0"/>
    <x v="0"/>
    <x v="1"/>
    <x v="4"/>
    <x v="4"/>
    <x v="4"/>
    <x v="4"/>
  </r>
  <r>
    <x v="5"/>
    <x v="3"/>
    <x v="4"/>
    <x v="4"/>
    <x v="0"/>
    <x v="5"/>
    <x v="2"/>
    <x v="5"/>
    <x v="1"/>
    <x v="2"/>
    <x v="0"/>
    <x v="0"/>
    <x v="2"/>
    <x v="4"/>
    <x v="5"/>
    <x v="5"/>
    <x v="5"/>
    <x v="5"/>
  </r>
  <r>
    <x v="6"/>
    <x v="3"/>
    <x v="5"/>
    <x v="5"/>
    <x v="2"/>
    <x v="6"/>
    <x v="0"/>
    <x v="6"/>
    <x v="2"/>
    <x v="1"/>
    <x v="2"/>
    <x v="0"/>
    <x v="1"/>
    <x v="1"/>
    <x v="6"/>
    <x v="6"/>
    <x v="2"/>
    <x v="2"/>
  </r>
  <r>
    <x v="7"/>
    <x v="4"/>
    <x v="6"/>
    <x v="6"/>
    <x v="3"/>
    <x v="7"/>
    <x v="1"/>
    <x v="7"/>
    <x v="0"/>
    <x v="0"/>
    <x v="0"/>
    <x v="1"/>
    <x v="0"/>
    <x v="5"/>
    <x v="7"/>
    <x v="7"/>
    <x v="6"/>
    <x v="2"/>
  </r>
  <r>
    <x v="8"/>
    <x v="5"/>
    <x v="1"/>
    <x v="1"/>
    <x v="0"/>
    <x v="8"/>
    <x v="2"/>
    <x v="8"/>
    <x v="1"/>
    <x v="1"/>
    <x v="1"/>
    <x v="0"/>
    <x v="1"/>
    <x v="2"/>
    <x v="8"/>
    <x v="8"/>
    <x v="7"/>
    <x v="6"/>
  </r>
  <r>
    <x v="9"/>
    <x v="6"/>
    <x v="7"/>
    <x v="7"/>
    <x v="1"/>
    <x v="9"/>
    <x v="0"/>
    <x v="9"/>
    <x v="2"/>
    <x v="2"/>
    <x v="2"/>
    <x v="2"/>
    <x v="2"/>
    <x v="3"/>
    <x v="9"/>
    <x v="7"/>
    <x v="2"/>
    <x v="2"/>
  </r>
  <r>
    <x v="10"/>
    <x v="7"/>
    <x v="8"/>
    <x v="8"/>
    <x v="3"/>
    <x v="10"/>
    <x v="0"/>
    <x v="10"/>
    <x v="0"/>
    <x v="3"/>
    <x v="0"/>
    <x v="0"/>
    <x v="3"/>
    <x v="6"/>
    <x v="10"/>
    <x v="9"/>
    <x v="1"/>
    <x v="1"/>
  </r>
  <r>
    <x v="11"/>
    <x v="7"/>
    <x v="9"/>
    <x v="9"/>
    <x v="2"/>
    <x v="11"/>
    <x v="2"/>
    <x v="11"/>
    <x v="1"/>
    <x v="0"/>
    <x v="1"/>
    <x v="0"/>
    <x v="0"/>
    <x v="7"/>
    <x v="11"/>
    <x v="10"/>
    <x v="8"/>
    <x v="7"/>
  </r>
  <r>
    <x v="12"/>
    <x v="8"/>
    <x v="2"/>
    <x v="2"/>
    <x v="0"/>
    <x v="2"/>
    <x v="2"/>
    <x v="2"/>
    <x v="2"/>
    <x v="2"/>
    <x v="0"/>
    <x v="0"/>
    <x v="2"/>
    <x v="8"/>
    <x v="12"/>
    <x v="11"/>
    <x v="2"/>
    <x v="2"/>
  </r>
  <r>
    <x v="13"/>
    <x v="9"/>
    <x v="10"/>
    <x v="10"/>
    <x v="1"/>
    <x v="12"/>
    <x v="0"/>
    <x v="12"/>
    <x v="0"/>
    <x v="3"/>
    <x v="2"/>
    <x v="0"/>
    <x v="3"/>
    <x v="9"/>
    <x v="1"/>
    <x v="1"/>
    <x v="9"/>
    <x v="8"/>
  </r>
  <r>
    <x v="14"/>
    <x v="9"/>
    <x v="11"/>
    <x v="11"/>
    <x v="0"/>
    <x v="13"/>
    <x v="0"/>
    <x v="13"/>
    <x v="1"/>
    <x v="0"/>
    <x v="0"/>
    <x v="0"/>
    <x v="0"/>
    <x v="10"/>
    <x v="13"/>
    <x v="12"/>
    <x v="10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16" firstHeaderRow="1" firstDataRow="1" firstDataCol="1"/>
  <pivotFields count="16">
    <pivotField dataField="1"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numFmtId="182" showAll="0"/>
    <pivotField compact="0" showAll="0"/>
    <pivotField axis="axisRow" compact="0" showAll="0">
      <items count="13">
        <item x="2"/>
        <item x="6"/>
        <item x="9"/>
        <item x="5"/>
        <item x="3"/>
        <item x="10"/>
        <item x="1"/>
        <item x="0"/>
        <item x="4"/>
        <item x="11"/>
        <item x="8"/>
        <item x="7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showAll="0">
      <items count="15">
        <item x="6"/>
        <item x="13"/>
        <item x="0"/>
        <item x="7"/>
        <item x="4"/>
        <item x="5"/>
        <item x="12"/>
        <item x="3"/>
        <item x="2"/>
        <item x="8"/>
        <item x="10"/>
        <item x="9"/>
        <item x="1"/>
        <item x="11"/>
        <item t="default"/>
      </items>
    </pivotField>
    <pivotField compact="0" showAll="0"/>
    <pivotField compact="0" showAll="0"/>
    <pivotField compact="0" numFmtId="9" showAll="0"/>
    <pivotField compact="0" showAll="0"/>
    <pivotField compact="0" showAll="0">
      <items count="4">
        <item x="1"/>
        <item x="2"/>
        <item x="0"/>
        <item t="default"/>
      </items>
    </pivotField>
    <pivotField compact="0" multipleItemSelectionAllowed="1" showAll="0">
      <items count="4">
        <item x="1"/>
        <item x="0"/>
        <item x="2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/>
    <pivotField compact="0" showAll="0"/>
    <pivotField compact="0" showAll="0">
      <items count="14">
        <item x="7"/>
        <item x="11"/>
        <item x="9"/>
        <item x="10"/>
        <item x="3"/>
        <item x="12"/>
        <item x="8"/>
        <item x="2"/>
        <item x="4"/>
        <item x="1"/>
        <item x="6"/>
        <item x="5"/>
        <item x="0"/>
        <item t="default"/>
      </items>
    </pivotField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D3:E8" firstHeaderRow="1" firstDataRow="1" firstDataCol="1"/>
  <pivotFields count="13">
    <pivotField compact="0" showAll="0">
      <items count="15">
        <item x="6"/>
        <item x="13"/>
        <item x="0"/>
        <item x="7"/>
        <item x="4"/>
        <item x="5"/>
        <item x="12"/>
        <item x="3"/>
        <item x="2"/>
        <item x="8"/>
        <item x="10"/>
        <item x="9"/>
        <item x="1"/>
        <item x="11"/>
        <item t="default"/>
      </items>
    </pivotField>
    <pivotField compact="0" showAll="0"/>
    <pivotField compact="0" showAll="0"/>
    <pivotField compact="0" numFmtId="9" showAll="0"/>
    <pivotField axis="axisRow" compact="0" showAll="0">
      <items count="5">
        <item x="0"/>
        <item x="1"/>
        <item x="3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4">
        <item x="7"/>
        <item x="11"/>
        <item x="9"/>
        <item x="10"/>
        <item x="3"/>
        <item x="12"/>
        <item x="8"/>
        <item x="2"/>
        <item x="4"/>
        <item x="1"/>
        <item x="6"/>
        <item x="5"/>
        <item x="0"/>
        <item t="default"/>
      </items>
    </pivotField>
    <pivotField compact="0" showAll="0"/>
    <pivotField compact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ctual_Revenue" fld="10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G3:H8" firstHeaderRow="1" firstDataRow="1" firstDataCol="1"/>
  <pivotFields count="18"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numFmtId="182" showAll="0"/>
    <pivotField compact="0" showAll="0"/>
    <pivotField compact="0" showAll="0"/>
    <pivotField axis="axisRow" compact="0" showAll="0">
      <items count="5">
        <item x="3"/>
        <item x="1"/>
        <item x="0"/>
        <item x="2"/>
        <item t="default"/>
      </items>
    </pivotField>
    <pivotField compact="0" showAll="0"/>
    <pivotField dataField="1" compact="0" showAll="0">
      <items count="4">
        <item x="2"/>
        <item x="0"/>
        <item x="1"/>
        <item t="default"/>
      </items>
    </pivotField>
    <pivotField compact="0" showAll="0"/>
    <pivotField compact="0" numFmtId="9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" fld="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D11:E16" firstHeaderRow="1" firstDataRow="1" firstDataCol="1"/>
  <pivotFields count="18"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numFmtId="182" showAll="0"/>
    <pivotField compact="0" showAll="0"/>
    <pivotField compact="0" showAll="0"/>
    <pivotField axis="axisRow" compact="0" sortType="descending" showAll="0">
      <items count="5">
        <item x="3"/>
        <item x="1"/>
        <item x="0"/>
        <item x="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numFmtId="9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4">
        <item x="7"/>
        <item x="11"/>
        <item x="9"/>
        <item x="10"/>
        <item x="3"/>
        <item x="12"/>
        <item x="8"/>
        <item x="2"/>
        <item x="4"/>
        <item x="1"/>
        <item x="6"/>
        <item x="5"/>
        <item x="0"/>
        <item t="default"/>
      </items>
    </pivotField>
    <pivotField compact="0" showAll="0"/>
    <pivotField compact="0" showAll="0"/>
  </pivotFields>
  <rowFields count="1">
    <field x="4"/>
  </rowFields>
  <rowItems count="5">
    <i>
      <x v="2"/>
    </i>
    <i>
      <x v="1"/>
    </i>
    <i>
      <x v="3"/>
    </i>
    <i>
      <x/>
    </i>
    <i t="grand">
      <x/>
    </i>
  </rowItems>
  <colItems count="1">
    <i/>
  </colItems>
  <dataFields count="1">
    <dataField name="Sum of Actual_Revenue" fld="1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G11:H15" firstHeaderRow="1" firstDataRow="1" firstDataCol="1"/>
  <pivotFields count="18"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numFmtId="182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9" showAll="0"/>
    <pivotField compact="0" showAll="0"/>
    <pivotField axis="axisRow" compact="0" showAll="0">
      <items count="4">
        <item x="1"/>
        <item x="2"/>
        <item x="0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>
      <items count="14">
        <item x="7"/>
        <item x="11"/>
        <item x="9"/>
        <item x="10"/>
        <item x="3"/>
        <item x="12"/>
        <item x="8"/>
        <item x="2"/>
        <item x="4"/>
        <item x="1"/>
        <item x="6"/>
        <item x="5"/>
        <item x="0"/>
        <item t="default"/>
      </items>
    </pivotField>
    <pivotField compact="0" showAll="0"/>
    <pivotField compact="0"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ctual_Revenue" fld="1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7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D18:E24" firstHeaderRow="1" firstDataRow="1" firstDataCol="1"/>
  <pivotFields count="18"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numFmtId="182" showAll="0"/>
    <pivotField compact="0" showAll="0"/>
    <pivotField axis="axisRow" compact="0" sortType="descending" multipleItemSelectionAllowed="1" showAll="0">
      <items count="13">
        <item h="1" x="7"/>
        <item h="1" x="8"/>
        <item h="1" x="11"/>
        <item x="4"/>
        <item x="0"/>
        <item x="1"/>
        <item h="1" x="10"/>
        <item h="1" x="3"/>
        <item x="5"/>
        <item h="1" x="9"/>
        <item h="1" x="6"/>
        <item x="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numFmtId="9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4">
        <item x="7"/>
        <item x="11"/>
        <item x="9"/>
        <item x="10"/>
        <item x="3"/>
        <item x="12"/>
        <item x="8"/>
        <item x="2"/>
        <item x="4"/>
        <item x="1"/>
        <item x="6"/>
        <item x="5"/>
        <item x="0"/>
        <item t="default"/>
      </items>
    </pivotField>
    <pivotField compact="0" showAll="0"/>
    <pivotField compact="0" showAll="0"/>
  </pivotFields>
  <rowFields count="1">
    <field x="3"/>
  </rowFields>
  <rowItems count="6">
    <i>
      <x v="4"/>
    </i>
    <i>
      <x v="5"/>
    </i>
    <i>
      <x v="11"/>
    </i>
    <i>
      <x v="3"/>
    </i>
    <i>
      <x v="8"/>
    </i>
    <i t="grand">
      <x/>
    </i>
  </rowItems>
  <colItems count="1">
    <i/>
  </colItems>
  <dataFields count="1">
    <dataField name="Sum of Actual_Revenue" fld="1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8"/>
  <sheetViews>
    <sheetView workbookViewId="0">
      <selection activeCell="H23" sqref="H23"/>
    </sheetView>
  </sheetViews>
  <sheetFormatPr defaultColWidth="14.3333333333333" defaultRowHeight="14.4"/>
  <cols>
    <col min="1" max="3" width="14.3333333333333" style="15"/>
    <col min="4" max="4" width="15.4444444444444" style="15" customWidth="1"/>
    <col min="5" max="8" width="14.3333333333333" style="15"/>
    <col min="9" max="9" width="17" style="15" customWidth="1"/>
    <col min="10" max="10" width="14.3333333333333" style="15"/>
    <col min="11" max="11" width="16.3333333333333" style="15" customWidth="1"/>
    <col min="12" max="12" width="14.3333333333333" style="15"/>
    <col min="18" max="18" width="15.7777777777778" customWidth="1"/>
  </cols>
  <sheetData>
    <row r="1" s="14" customFormat="1" ht="15.6" spans="1:1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7" t="s">
        <v>6</v>
      </c>
      <c r="H1" s="17" t="s">
        <v>7</v>
      </c>
      <c r="I1" s="17" t="s">
        <v>8</v>
      </c>
      <c r="J1" s="16" t="s">
        <v>9</v>
      </c>
      <c r="K1" s="16" t="s">
        <v>10</v>
      </c>
      <c r="L1" s="16" t="s">
        <v>11</v>
      </c>
      <c r="M1" s="14" t="s">
        <v>12</v>
      </c>
      <c r="N1" s="18" t="s">
        <v>13</v>
      </c>
      <c r="O1" s="19" t="s">
        <v>14</v>
      </c>
      <c r="P1" t="s">
        <v>15</v>
      </c>
      <c r="Q1" t="s">
        <v>16</v>
      </c>
      <c r="R1" t="s">
        <v>17</v>
      </c>
    </row>
    <row r="2" spans="1:18">
      <c r="A2" s="20" t="s">
        <v>18</v>
      </c>
      <c r="B2" s="21">
        <v>46266</v>
      </c>
      <c r="C2" s="20" t="s">
        <v>19</v>
      </c>
      <c r="D2" s="20" t="s">
        <v>20</v>
      </c>
      <c r="E2" s="20" t="s">
        <v>21</v>
      </c>
      <c r="F2" s="20" t="s">
        <v>22</v>
      </c>
      <c r="G2" s="22">
        <v>2</v>
      </c>
      <c r="H2" s="22">
        <v>1200</v>
      </c>
      <c r="I2" s="23">
        <v>0.1</v>
      </c>
      <c r="J2" s="20" t="s">
        <v>23</v>
      </c>
      <c r="K2" s="20" t="s">
        <v>24</v>
      </c>
      <c r="L2" s="20" t="s">
        <v>25</v>
      </c>
      <c r="M2" t="str">
        <f>PROPER(J2)</f>
        <v>East</v>
      </c>
      <c r="N2">
        <f>G2*H2</f>
        <v>2400</v>
      </c>
      <c r="O2">
        <f>N2*(1-I2)</f>
        <v>2160</v>
      </c>
      <c r="P2">
        <f>IF(L2="Delivered",O2,0)</f>
        <v>2160</v>
      </c>
      <c r="Q2">
        <f>N2-O2</f>
        <v>240</v>
      </c>
      <c r="R2">
        <f>IF(L2="Delivered",Q2,0)</f>
        <v>240</v>
      </c>
    </row>
    <row r="3" spans="1:18">
      <c r="A3" s="20" t="s">
        <v>26</v>
      </c>
      <c r="B3" s="21">
        <v>46266</v>
      </c>
      <c r="C3" s="20" t="s">
        <v>27</v>
      </c>
      <c r="D3" s="20" t="s">
        <v>28</v>
      </c>
      <c r="E3" s="20" t="s">
        <v>29</v>
      </c>
      <c r="F3" s="20" t="s">
        <v>30</v>
      </c>
      <c r="G3" s="22">
        <v>3</v>
      </c>
      <c r="H3" s="22">
        <v>600</v>
      </c>
      <c r="I3" s="23">
        <v>0.05</v>
      </c>
      <c r="J3" s="20" t="s">
        <v>31</v>
      </c>
      <c r="K3" s="20" t="s">
        <v>32</v>
      </c>
      <c r="L3" s="20" t="s">
        <v>25</v>
      </c>
      <c r="M3" t="str">
        <f t="shared" ref="M3:M16" si="0">PROPER(J3)</f>
        <v>North</v>
      </c>
      <c r="N3">
        <f t="shared" ref="N3:N16" si="1">G3*H3</f>
        <v>1800</v>
      </c>
      <c r="O3">
        <f t="shared" ref="O3:O16" si="2">N3*(1-I3)</f>
        <v>1710</v>
      </c>
      <c r="P3">
        <f t="shared" ref="P3:P16" si="3">IF(L3="Delivered",O3,0)</f>
        <v>1710</v>
      </c>
      <c r="Q3">
        <f t="shared" ref="Q3:Q16" si="4">N3-O3</f>
        <v>90</v>
      </c>
      <c r="R3">
        <f t="shared" ref="R3:R16" si="5">IF(L3="Delivered",Q3,0)</f>
        <v>90</v>
      </c>
    </row>
    <row r="4" spans="1:18">
      <c r="A4" s="20" t="s">
        <v>33</v>
      </c>
      <c r="B4" s="21">
        <v>46267</v>
      </c>
      <c r="C4" s="20" t="s">
        <v>34</v>
      </c>
      <c r="D4" s="20" t="s">
        <v>35</v>
      </c>
      <c r="E4" s="20" t="s">
        <v>21</v>
      </c>
      <c r="F4" s="20" t="s">
        <v>36</v>
      </c>
      <c r="G4" s="22">
        <v>2</v>
      </c>
      <c r="H4" s="22">
        <v>800</v>
      </c>
      <c r="I4" s="23">
        <v>0</v>
      </c>
      <c r="J4" s="20" t="s">
        <v>37</v>
      </c>
      <c r="K4" s="20" t="s">
        <v>24</v>
      </c>
      <c r="L4" s="20" t="s">
        <v>25</v>
      </c>
      <c r="M4" t="str">
        <f t="shared" si="0"/>
        <v>West</v>
      </c>
      <c r="N4">
        <f t="shared" si="1"/>
        <v>1600</v>
      </c>
      <c r="O4">
        <f t="shared" si="2"/>
        <v>1600</v>
      </c>
      <c r="P4">
        <f t="shared" si="3"/>
        <v>1600</v>
      </c>
      <c r="Q4">
        <f t="shared" si="4"/>
        <v>0</v>
      </c>
      <c r="R4">
        <f t="shared" si="5"/>
        <v>0</v>
      </c>
    </row>
    <row r="5" spans="1:18">
      <c r="A5" s="20" t="s">
        <v>38</v>
      </c>
      <c r="B5" s="21">
        <v>46267</v>
      </c>
      <c r="C5" s="20" t="s">
        <v>39</v>
      </c>
      <c r="D5" s="20" t="s">
        <v>40</v>
      </c>
      <c r="E5" s="20" t="s">
        <v>41</v>
      </c>
      <c r="F5" s="20" t="s">
        <v>42</v>
      </c>
      <c r="G5" s="22">
        <v>1</v>
      </c>
      <c r="H5" s="22">
        <v>1500</v>
      </c>
      <c r="I5" s="23">
        <v>0.15</v>
      </c>
      <c r="J5" s="20" t="s">
        <v>43</v>
      </c>
      <c r="K5" s="20" t="s">
        <v>44</v>
      </c>
      <c r="L5" s="20" t="s">
        <v>25</v>
      </c>
      <c r="M5" t="str">
        <f t="shared" si="0"/>
        <v>South</v>
      </c>
      <c r="N5">
        <f t="shared" si="1"/>
        <v>1500</v>
      </c>
      <c r="O5">
        <f t="shared" si="2"/>
        <v>1275</v>
      </c>
      <c r="P5">
        <f t="shared" si="3"/>
        <v>1275</v>
      </c>
      <c r="Q5">
        <f t="shared" si="4"/>
        <v>225</v>
      </c>
      <c r="R5">
        <f t="shared" si="5"/>
        <v>225</v>
      </c>
    </row>
    <row r="6" spans="1:18">
      <c r="A6" s="20" t="s">
        <v>45</v>
      </c>
      <c r="B6" s="21">
        <v>46268</v>
      </c>
      <c r="C6" s="20" t="s">
        <v>19</v>
      </c>
      <c r="D6" s="20" t="s">
        <v>20</v>
      </c>
      <c r="E6" s="20" t="s">
        <v>29</v>
      </c>
      <c r="F6" s="20" t="s">
        <v>46</v>
      </c>
      <c r="G6" s="22">
        <v>1</v>
      </c>
      <c r="H6" s="22">
        <v>1800</v>
      </c>
      <c r="I6" s="23">
        <v>0.1</v>
      </c>
      <c r="J6" s="20" t="s">
        <v>47</v>
      </c>
      <c r="K6" s="20" t="s">
        <v>32</v>
      </c>
      <c r="L6" s="20" t="s">
        <v>25</v>
      </c>
      <c r="M6" t="str">
        <f t="shared" si="0"/>
        <v>East</v>
      </c>
      <c r="N6">
        <f t="shared" si="1"/>
        <v>1800</v>
      </c>
      <c r="O6">
        <f t="shared" si="2"/>
        <v>1620</v>
      </c>
      <c r="P6">
        <f t="shared" si="3"/>
        <v>1620</v>
      </c>
      <c r="Q6">
        <f t="shared" si="4"/>
        <v>180</v>
      </c>
      <c r="R6">
        <f t="shared" si="5"/>
        <v>180</v>
      </c>
    </row>
    <row r="7" spans="1:18">
      <c r="A7" s="20" t="s">
        <v>48</v>
      </c>
      <c r="B7" s="21">
        <v>46269</v>
      </c>
      <c r="C7" s="20" t="s">
        <v>49</v>
      </c>
      <c r="D7" s="20" t="s">
        <v>50</v>
      </c>
      <c r="E7" s="20" t="s">
        <v>21</v>
      </c>
      <c r="F7" s="20" t="s">
        <v>51</v>
      </c>
      <c r="G7" s="22">
        <v>1</v>
      </c>
      <c r="H7" s="22">
        <v>2200</v>
      </c>
      <c r="I7" s="23">
        <v>0.05</v>
      </c>
      <c r="J7" s="20" t="s">
        <v>37</v>
      </c>
      <c r="K7" s="20" t="s">
        <v>24</v>
      </c>
      <c r="L7" s="20" t="s">
        <v>25</v>
      </c>
      <c r="M7" t="str">
        <f t="shared" si="0"/>
        <v>West</v>
      </c>
      <c r="N7">
        <f t="shared" si="1"/>
        <v>2200</v>
      </c>
      <c r="O7">
        <f t="shared" si="2"/>
        <v>2090</v>
      </c>
      <c r="P7">
        <f t="shared" si="3"/>
        <v>2090</v>
      </c>
      <c r="Q7">
        <f t="shared" si="4"/>
        <v>110</v>
      </c>
      <c r="R7">
        <f t="shared" si="5"/>
        <v>110</v>
      </c>
    </row>
    <row r="8" spans="1:18">
      <c r="A8" s="20" t="s">
        <v>52</v>
      </c>
      <c r="B8" s="21">
        <v>46269</v>
      </c>
      <c r="C8" s="20" t="s">
        <v>53</v>
      </c>
      <c r="D8" s="20" t="s">
        <v>54</v>
      </c>
      <c r="E8" s="20" t="s">
        <v>41</v>
      </c>
      <c r="F8" s="20" t="s">
        <v>55</v>
      </c>
      <c r="G8" s="22">
        <v>2</v>
      </c>
      <c r="H8" s="22">
        <v>900</v>
      </c>
      <c r="I8" s="23">
        <v>0</v>
      </c>
      <c r="J8" s="20" t="s">
        <v>56</v>
      </c>
      <c r="K8" s="20" t="s">
        <v>44</v>
      </c>
      <c r="L8" s="20" t="s">
        <v>25</v>
      </c>
      <c r="M8" t="str">
        <f t="shared" si="0"/>
        <v>North</v>
      </c>
      <c r="N8">
        <f t="shared" si="1"/>
        <v>1800</v>
      </c>
      <c r="O8">
        <f t="shared" si="2"/>
        <v>1800</v>
      </c>
      <c r="P8">
        <f t="shared" si="3"/>
        <v>1800</v>
      </c>
      <c r="Q8">
        <f t="shared" si="4"/>
        <v>0</v>
      </c>
      <c r="R8">
        <f t="shared" si="5"/>
        <v>0</v>
      </c>
    </row>
    <row r="9" spans="1:18">
      <c r="A9" s="20" t="s">
        <v>57</v>
      </c>
      <c r="B9" s="21">
        <v>46270</v>
      </c>
      <c r="C9" s="20" t="s">
        <v>58</v>
      </c>
      <c r="D9" s="20" t="s">
        <v>59</v>
      </c>
      <c r="E9" s="20" t="s">
        <v>60</v>
      </c>
      <c r="F9" s="20" t="s">
        <v>61</v>
      </c>
      <c r="G9" s="22">
        <v>3</v>
      </c>
      <c r="H9" s="22">
        <v>350</v>
      </c>
      <c r="I9" s="23">
        <v>0.1</v>
      </c>
      <c r="J9" s="20" t="s">
        <v>23</v>
      </c>
      <c r="K9" s="20" t="s">
        <v>24</v>
      </c>
      <c r="L9" s="20" t="s">
        <v>62</v>
      </c>
      <c r="M9" t="str">
        <f t="shared" si="0"/>
        <v>East</v>
      </c>
      <c r="N9">
        <f t="shared" si="1"/>
        <v>1050</v>
      </c>
      <c r="O9">
        <f t="shared" si="2"/>
        <v>945</v>
      </c>
      <c r="P9">
        <f t="shared" si="3"/>
        <v>0</v>
      </c>
      <c r="Q9">
        <f t="shared" si="4"/>
        <v>105</v>
      </c>
      <c r="R9">
        <f t="shared" si="5"/>
        <v>0</v>
      </c>
    </row>
    <row r="10" spans="1:18">
      <c r="A10" s="20" t="s">
        <v>63</v>
      </c>
      <c r="B10" s="21">
        <v>46271</v>
      </c>
      <c r="C10" s="20" t="s">
        <v>27</v>
      </c>
      <c r="D10" s="20" t="s">
        <v>28</v>
      </c>
      <c r="E10" s="20" t="s">
        <v>21</v>
      </c>
      <c r="F10" s="20" t="s">
        <v>64</v>
      </c>
      <c r="G10" s="22">
        <v>1</v>
      </c>
      <c r="H10" s="22">
        <v>1600</v>
      </c>
      <c r="I10" s="23">
        <v>0.05</v>
      </c>
      <c r="J10" s="20" t="s">
        <v>31</v>
      </c>
      <c r="K10" s="20" t="s">
        <v>32</v>
      </c>
      <c r="L10" s="20" t="s">
        <v>25</v>
      </c>
      <c r="M10" t="str">
        <f t="shared" si="0"/>
        <v>North</v>
      </c>
      <c r="N10">
        <f t="shared" si="1"/>
        <v>1600</v>
      </c>
      <c r="O10">
        <f t="shared" si="2"/>
        <v>1520</v>
      </c>
      <c r="P10">
        <f t="shared" si="3"/>
        <v>1520</v>
      </c>
      <c r="Q10">
        <f t="shared" si="4"/>
        <v>80</v>
      </c>
      <c r="R10">
        <f t="shared" si="5"/>
        <v>80</v>
      </c>
    </row>
    <row r="11" spans="1:18">
      <c r="A11" s="20" t="s">
        <v>65</v>
      </c>
      <c r="B11" s="21">
        <v>46272</v>
      </c>
      <c r="C11" s="20" t="s">
        <v>66</v>
      </c>
      <c r="D11" s="20" t="s">
        <v>67</v>
      </c>
      <c r="E11" s="20" t="s">
        <v>29</v>
      </c>
      <c r="F11" s="20" t="s">
        <v>68</v>
      </c>
      <c r="G11" s="22">
        <v>2</v>
      </c>
      <c r="H11" s="22">
        <v>750</v>
      </c>
      <c r="I11" s="23">
        <v>0</v>
      </c>
      <c r="J11" s="20" t="s">
        <v>37</v>
      </c>
      <c r="K11" s="20" t="s">
        <v>44</v>
      </c>
      <c r="L11" s="20" t="s">
        <v>69</v>
      </c>
      <c r="M11" t="str">
        <f t="shared" si="0"/>
        <v>West</v>
      </c>
      <c r="N11">
        <f t="shared" si="1"/>
        <v>1500</v>
      </c>
      <c r="O11">
        <f t="shared" si="2"/>
        <v>1500</v>
      </c>
      <c r="P11">
        <f t="shared" si="3"/>
        <v>0</v>
      </c>
      <c r="Q11">
        <f t="shared" si="4"/>
        <v>0</v>
      </c>
      <c r="R11">
        <f t="shared" si="5"/>
        <v>0</v>
      </c>
    </row>
    <row r="12" spans="1:18">
      <c r="A12" s="20" t="s">
        <v>70</v>
      </c>
      <c r="B12" s="21">
        <v>46273</v>
      </c>
      <c r="C12" s="20" t="s">
        <v>71</v>
      </c>
      <c r="D12" s="20" t="s">
        <v>72</v>
      </c>
      <c r="E12" s="20" t="s">
        <v>60</v>
      </c>
      <c r="F12" s="20" t="s">
        <v>73</v>
      </c>
      <c r="G12" s="22">
        <v>2</v>
      </c>
      <c r="H12" s="22">
        <v>450</v>
      </c>
      <c r="I12" s="23">
        <v>0.1</v>
      </c>
      <c r="J12" s="20" t="s">
        <v>43</v>
      </c>
      <c r="K12" s="20" t="s">
        <v>24</v>
      </c>
      <c r="L12" s="20" t="s">
        <v>25</v>
      </c>
      <c r="M12" t="str">
        <f t="shared" si="0"/>
        <v>South</v>
      </c>
      <c r="N12">
        <f t="shared" si="1"/>
        <v>900</v>
      </c>
      <c r="O12">
        <f t="shared" si="2"/>
        <v>810</v>
      </c>
      <c r="P12">
        <f t="shared" si="3"/>
        <v>810</v>
      </c>
      <c r="Q12">
        <f t="shared" si="4"/>
        <v>90</v>
      </c>
      <c r="R12">
        <f t="shared" si="5"/>
        <v>90</v>
      </c>
    </row>
    <row r="13" spans="1:18">
      <c r="A13" s="20" t="s">
        <v>74</v>
      </c>
      <c r="B13" s="21">
        <v>46273</v>
      </c>
      <c r="C13" s="20" t="s">
        <v>75</v>
      </c>
      <c r="D13" s="20" t="s">
        <v>76</v>
      </c>
      <c r="E13" s="20" t="s">
        <v>41</v>
      </c>
      <c r="F13" s="20" t="s">
        <v>77</v>
      </c>
      <c r="G13" s="22">
        <v>1</v>
      </c>
      <c r="H13" s="22">
        <v>1100</v>
      </c>
      <c r="I13" s="23">
        <v>0.05</v>
      </c>
      <c r="J13" s="20" t="s">
        <v>23</v>
      </c>
      <c r="K13" s="20" t="s">
        <v>32</v>
      </c>
      <c r="L13" s="20" t="s">
        <v>25</v>
      </c>
      <c r="M13" t="str">
        <f t="shared" si="0"/>
        <v>East</v>
      </c>
      <c r="N13">
        <f t="shared" si="1"/>
        <v>1100</v>
      </c>
      <c r="O13">
        <f t="shared" si="2"/>
        <v>1045</v>
      </c>
      <c r="P13">
        <f t="shared" si="3"/>
        <v>1045</v>
      </c>
      <c r="Q13">
        <f t="shared" si="4"/>
        <v>55</v>
      </c>
      <c r="R13">
        <f t="shared" si="5"/>
        <v>55</v>
      </c>
    </row>
    <row r="14" spans="1:18">
      <c r="A14" s="20" t="s">
        <v>78</v>
      </c>
      <c r="B14" s="21">
        <v>46274</v>
      </c>
      <c r="C14" s="20" t="s">
        <v>34</v>
      </c>
      <c r="D14" s="20" t="s">
        <v>35</v>
      </c>
      <c r="E14" s="20" t="s">
        <v>21</v>
      </c>
      <c r="F14" s="20" t="s">
        <v>36</v>
      </c>
      <c r="G14" s="22">
        <v>1</v>
      </c>
      <c r="H14" s="22">
        <v>800</v>
      </c>
      <c r="I14" s="23">
        <v>0</v>
      </c>
      <c r="J14" s="20" t="s">
        <v>37</v>
      </c>
      <c r="K14" s="20" t="s">
        <v>24</v>
      </c>
      <c r="L14" s="20" t="s">
        <v>25</v>
      </c>
      <c r="M14" t="str">
        <f t="shared" si="0"/>
        <v>West</v>
      </c>
      <c r="N14">
        <f t="shared" si="1"/>
        <v>800</v>
      </c>
      <c r="O14">
        <f t="shared" si="2"/>
        <v>800</v>
      </c>
      <c r="P14">
        <f t="shared" si="3"/>
        <v>800</v>
      </c>
      <c r="Q14">
        <f t="shared" si="4"/>
        <v>0</v>
      </c>
      <c r="R14">
        <f t="shared" si="5"/>
        <v>0</v>
      </c>
    </row>
    <row r="15" spans="1:18">
      <c r="A15" s="20" t="s">
        <v>79</v>
      </c>
      <c r="B15" s="21">
        <v>46275</v>
      </c>
      <c r="C15" s="20" t="s">
        <v>80</v>
      </c>
      <c r="D15" s="20" t="s">
        <v>81</v>
      </c>
      <c r="E15" s="20" t="s">
        <v>29</v>
      </c>
      <c r="F15" s="20" t="s">
        <v>82</v>
      </c>
      <c r="G15" s="22">
        <v>2</v>
      </c>
      <c r="H15" s="22">
        <v>950</v>
      </c>
      <c r="I15" s="23">
        <v>0.1</v>
      </c>
      <c r="J15" s="20" t="s">
        <v>43</v>
      </c>
      <c r="K15" s="20" t="s">
        <v>44</v>
      </c>
      <c r="L15" s="20" t="s">
        <v>25</v>
      </c>
      <c r="M15" t="str">
        <f t="shared" si="0"/>
        <v>South</v>
      </c>
      <c r="N15">
        <f t="shared" si="1"/>
        <v>1900</v>
      </c>
      <c r="O15">
        <f t="shared" si="2"/>
        <v>1710</v>
      </c>
      <c r="P15">
        <f t="shared" si="3"/>
        <v>1710</v>
      </c>
      <c r="Q15">
        <f t="shared" si="4"/>
        <v>190</v>
      </c>
      <c r="R15">
        <f t="shared" si="5"/>
        <v>190</v>
      </c>
    </row>
    <row r="16" spans="1:18">
      <c r="A16" s="20" t="s">
        <v>83</v>
      </c>
      <c r="B16" s="21">
        <v>46275</v>
      </c>
      <c r="C16" s="20" t="s">
        <v>84</v>
      </c>
      <c r="D16" s="20" t="s">
        <v>85</v>
      </c>
      <c r="E16" s="20" t="s">
        <v>21</v>
      </c>
      <c r="F16" s="20" t="s">
        <v>86</v>
      </c>
      <c r="G16" s="22">
        <v>2</v>
      </c>
      <c r="H16" s="22">
        <v>700</v>
      </c>
      <c r="I16" s="23">
        <v>0.05</v>
      </c>
      <c r="J16" s="20" t="s">
        <v>23</v>
      </c>
      <c r="K16" s="20" t="s">
        <v>24</v>
      </c>
      <c r="L16" s="20" t="s">
        <v>25</v>
      </c>
      <c r="M16" t="str">
        <f t="shared" si="0"/>
        <v>East</v>
      </c>
      <c r="N16">
        <f t="shared" si="1"/>
        <v>1400</v>
      </c>
      <c r="O16">
        <f t="shared" si="2"/>
        <v>1330</v>
      </c>
      <c r="P16">
        <f t="shared" si="3"/>
        <v>1330</v>
      </c>
      <c r="Q16">
        <f t="shared" si="4"/>
        <v>70</v>
      </c>
      <c r="R16">
        <f t="shared" si="5"/>
        <v>70</v>
      </c>
    </row>
    <row r="18" spans="1:12">
      <c r="A18"/>
      <c r="B18"/>
      <c r="C18"/>
      <c r="D18"/>
      <c r="E18"/>
      <c r="F18"/>
      <c r="G18"/>
      <c r="H18"/>
      <c r="I18"/>
      <c r="J18"/>
      <c r="K18"/>
      <c r="L18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H24"/>
  <sheetViews>
    <sheetView topLeftCell="A8" workbookViewId="0">
      <selection activeCell="E28" sqref="E28"/>
    </sheetView>
  </sheetViews>
  <sheetFormatPr defaultColWidth="8.88888888888889" defaultRowHeight="14.4" outlineLevelCol="7"/>
  <cols>
    <col min="1" max="1" width="18.5555555555556"/>
    <col min="2" max="2" width="17.8888888888889"/>
    <col min="3" max="3" width="22.2222222222222"/>
    <col min="4" max="4" width="18.5555555555556"/>
    <col min="5" max="5" width="23.2222222222222"/>
    <col min="7" max="7" width="19.8888888888889"/>
    <col min="8" max="8" width="23.2222222222222"/>
  </cols>
  <sheetData>
    <row r="3" spans="1:8">
      <c r="A3" t="s">
        <v>3</v>
      </c>
      <c r="B3" t="s">
        <v>87</v>
      </c>
      <c r="D3" t="s">
        <v>9</v>
      </c>
      <c r="E3" t="s">
        <v>88</v>
      </c>
      <c r="G3" t="s">
        <v>4</v>
      </c>
      <c r="H3" t="s">
        <v>89</v>
      </c>
    </row>
    <row r="4" spans="1:8">
      <c r="A4" t="s">
        <v>35</v>
      </c>
      <c r="B4">
        <v>2</v>
      </c>
      <c r="D4" t="s">
        <v>23</v>
      </c>
      <c r="E4">
        <v>6155</v>
      </c>
      <c r="G4" t="s">
        <v>60</v>
      </c>
      <c r="H4">
        <v>5</v>
      </c>
    </row>
    <row r="5" spans="1:8">
      <c r="A5" t="s">
        <v>59</v>
      </c>
      <c r="B5">
        <v>1</v>
      </c>
      <c r="D5" t="s">
        <v>31</v>
      </c>
      <c r="E5">
        <v>5030</v>
      </c>
      <c r="G5" t="s">
        <v>29</v>
      </c>
      <c r="H5">
        <v>8</v>
      </c>
    </row>
    <row r="6" spans="1:8">
      <c r="A6" t="s">
        <v>76</v>
      </c>
      <c r="B6">
        <v>1</v>
      </c>
      <c r="D6" t="s">
        <v>43</v>
      </c>
      <c r="E6">
        <v>3795</v>
      </c>
      <c r="G6" t="s">
        <v>21</v>
      </c>
      <c r="H6">
        <v>9</v>
      </c>
    </row>
    <row r="7" spans="1:8">
      <c r="A7" t="s">
        <v>54</v>
      </c>
      <c r="B7">
        <v>1</v>
      </c>
      <c r="D7" t="s">
        <v>37</v>
      </c>
      <c r="E7">
        <v>4490</v>
      </c>
      <c r="G7" t="s">
        <v>41</v>
      </c>
      <c r="H7">
        <v>4</v>
      </c>
    </row>
    <row r="8" spans="1:8">
      <c r="A8" t="s">
        <v>40</v>
      </c>
      <c r="B8">
        <v>1</v>
      </c>
      <c r="D8" t="s">
        <v>90</v>
      </c>
      <c r="E8">
        <v>19470</v>
      </c>
      <c r="G8" t="s">
        <v>90</v>
      </c>
      <c r="H8">
        <v>26</v>
      </c>
    </row>
    <row r="9" spans="1:8">
      <c r="A9" t="s">
        <v>81</v>
      </c>
      <c r="B9">
        <v>1</v>
      </c>
    </row>
    <row r="10" spans="1:8">
      <c r="A10" t="s">
        <v>28</v>
      </c>
      <c r="B10">
        <v>2</v>
      </c>
    </row>
    <row r="11" spans="1:8">
      <c r="A11" t="s">
        <v>20</v>
      </c>
      <c r="B11">
        <v>2</v>
      </c>
      <c r="D11" t="s">
        <v>4</v>
      </c>
      <c r="E11" t="s">
        <v>88</v>
      </c>
      <c r="G11" t="s">
        <v>10</v>
      </c>
      <c r="H11" t="s">
        <v>88</v>
      </c>
    </row>
    <row r="12" spans="1:8">
      <c r="A12" t="s">
        <v>50</v>
      </c>
      <c r="B12">
        <v>1</v>
      </c>
      <c r="D12" t="s">
        <v>21</v>
      </c>
      <c r="E12">
        <v>9500</v>
      </c>
      <c r="G12" t="s">
        <v>32</v>
      </c>
      <c r="H12">
        <v>5895</v>
      </c>
    </row>
    <row r="13" spans="1:8">
      <c r="A13" t="s">
        <v>85</v>
      </c>
      <c r="B13">
        <v>1</v>
      </c>
      <c r="D13" t="s">
        <v>29</v>
      </c>
      <c r="E13">
        <v>5040</v>
      </c>
      <c r="G13" t="s">
        <v>44</v>
      </c>
      <c r="H13">
        <v>4785</v>
      </c>
    </row>
    <row r="14" spans="1:8">
      <c r="A14" t="s">
        <v>72</v>
      </c>
      <c r="B14">
        <v>1</v>
      </c>
      <c r="D14" t="s">
        <v>41</v>
      </c>
      <c r="E14">
        <v>4120</v>
      </c>
      <c r="G14" t="s">
        <v>24</v>
      </c>
      <c r="H14">
        <v>8790</v>
      </c>
    </row>
    <row r="15" spans="1:8">
      <c r="A15" t="s">
        <v>67</v>
      </c>
      <c r="B15">
        <v>1</v>
      </c>
      <c r="D15" t="s">
        <v>60</v>
      </c>
      <c r="E15">
        <v>810</v>
      </c>
      <c r="G15" t="s">
        <v>90</v>
      </c>
      <c r="H15">
        <v>19470</v>
      </c>
    </row>
    <row r="16" spans="1:8">
      <c r="A16" t="s">
        <v>90</v>
      </c>
      <c r="B16">
        <v>15</v>
      </c>
      <c r="D16" t="s">
        <v>90</v>
      </c>
      <c r="E16">
        <v>19470</v>
      </c>
    </row>
    <row r="18" spans="4:5">
      <c r="D18" t="s">
        <v>3</v>
      </c>
      <c r="E18" t="s">
        <v>88</v>
      </c>
    </row>
    <row r="19" spans="4:5">
      <c r="D19" t="s">
        <v>20</v>
      </c>
      <c r="E19">
        <v>3780</v>
      </c>
    </row>
    <row r="20" spans="4:5">
      <c r="D20" t="s">
        <v>28</v>
      </c>
      <c r="E20">
        <v>3230</v>
      </c>
    </row>
    <row r="21" spans="4:5">
      <c r="D21" t="s">
        <v>35</v>
      </c>
      <c r="E21">
        <v>2400</v>
      </c>
    </row>
    <row r="22" spans="4:5">
      <c r="D22" t="s">
        <v>50</v>
      </c>
      <c r="E22">
        <v>2090</v>
      </c>
    </row>
    <row r="23" spans="4:5">
      <c r="D23" t="s">
        <v>54</v>
      </c>
      <c r="E23">
        <v>1800</v>
      </c>
    </row>
    <row r="24" spans="4:5">
      <c r="D24" t="s">
        <v>90</v>
      </c>
      <c r="E24">
        <v>13300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tabSelected="1" workbookViewId="0">
      <selection activeCell="B7" sqref="B7"/>
    </sheetView>
  </sheetViews>
  <sheetFormatPr defaultColWidth="8.88888888888889" defaultRowHeight="14.4" outlineLevelCol="1"/>
  <cols>
    <col min="1" max="1" width="18.5555555555556" customWidth="1"/>
    <col min="2" max="2" width="14.1111111111111"/>
  </cols>
  <sheetData>
    <row r="1" spans="1:2">
      <c r="A1" t="s">
        <v>15</v>
      </c>
      <c r="B1" s="9">
        <f>SUM(Raw_Data!P2:P16)</f>
        <v>19470</v>
      </c>
    </row>
    <row r="2" spans="1:2">
      <c r="A2" t="s">
        <v>91</v>
      </c>
      <c r="B2">
        <f>COUNTA(Raw_Data!A2:A16)</f>
        <v>15</v>
      </c>
    </row>
    <row r="3" spans="1:2">
      <c r="A3" t="s">
        <v>92</v>
      </c>
      <c r="B3">
        <f>COUNTIF(Raw_Data!L2:L16,"Delivered")</f>
        <v>13</v>
      </c>
    </row>
    <row r="4" spans="1:2">
      <c r="A4" t="s">
        <v>93</v>
      </c>
      <c r="B4">
        <f>COUNTIF(Raw_Data!L2:L16,"Cancelled")</f>
        <v>1</v>
      </c>
    </row>
    <row r="5" spans="1:2">
      <c r="A5" t="s">
        <v>94</v>
      </c>
      <c r="B5">
        <f>COUNTIF(Raw_Data!L2:L16,"Returned")</f>
        <v>1</v>
      </c>
    </row>
    <row r="6" spans="1:2">
      <c r="A6" t="s">
        <v>95</v>
      </c>
      <c r="B6" s="10">
        <f>B1/B3</f>
        <v>1497.69230769231</v>
      </c>
    </row>
    <row r="7" spans="1:2">
      <c r="A7" t="s">
        <v>96</v>
      </c>
      <c r="B7" s="11">
        <f>B3/B2</f>
        <v>0.866666666666667</v>
      </c>
    </row>
    <row r="8" spans="1:2">
      <c r="A8" t="s">
        <v>97</v>
      </c>
      <c r="B8" s="11">
        <f>B4/B2</f>
        <v>0.0666666666666667</v>
      </c>
    </row>
    <row r="9" spans="1:2">
      <c r="A9" t="s">
        <v>98</v>
      </c>
      <c r="B9" s="11">
        <f>B5/B2</f>
        <v>0.0666666666666667</v>
      </c>
    </row>
    <row r="10" spans="1:2">
      <c r="A10" t="s">
        <v>99</v>
      </c>
      <c r="B10">
        <f>SUM(Raw_Data!R2:R16)</f>
        <v>1330</v>
      </c>
    </row>
    <row r="11" spans="1:2">
      <c r="A11" t="s">
        <v>100</v>
      </c>
      <c r="B11">
        <f>B1+B10</f>
        <v>20800</v>
      </c>
    </row>
    <row r="12" spans="1:2">
      <c r="A12" t="s">
        <v>101</v>
      </c>
      <c r="B12" s="11">
        <f>B3/B2</f>
        <v>0.866666666666667</v>
      </c>
    </row>
    <row r="13" spans="1:2">
      <c r="A13" t="s">
        <v>102</v>
      </c>
      <c r="B13">
        <f>COUNTIF(PIVOT_TABLE!B4:B15,"&gt;1")</f>
        <v>3</v>
      </c>
    </row>
    <row r="14" spans="1:2">
      <c r="A14" t="s">
        <v>103</v>
      </c>
      <c r="B14">
        <f>COUNTA('[1]PIVOT TABLE'!A4:A15)</f>
        <v>12</v>
      </c>
    </row>
    <row r="15" spans="1:2">
      <c r="A15" s="12" t="s">
        <v>104</v>
      </c>
      <c r="B15" s="13">
        <f>B13/B14</f>
        <v>0.25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T6"/>
  <sheetViews>
    <sheetView showGridLines="0" zoomScale="90" zoomScaleNormal="90" workbookViewId="0">
      <selection activeCell="N4" sqref="N4:P5"/>
    </sheetView>
  </sheetViews>
  <sheetFormatPr defaultColWidth="8.88888888888889" defaultRowHeight="14.4" outlineLevelRow="5"/>
  <cols>
    <col min="13" max="13" width="7.55555555555556" customWidth="1"/>
    <col min="16" max="16" width="12.3333333333333" customWidth="1"/>
  </cols>
  <sheetData>
    <row r="3" ht="18" spans="1:20">
      <c r="A3" s="1"/>
      <c r="B3" s="2" t="s">
        <v>105</v>
      </c>
      <c r="C3" s="3"/>
      <c r="D3" s="3"/>
      <c r="F3" s="2" t="s">
        <v>91</v>
      </c>
      <c r="G3" s="2"/>
      <c r="H3" s="2"/>
      <c r="J3" s="2" t="s">
        <v>101</v>
      </c>
      <c r="K3" s="3"/>
      <c r="L3" s="3"/>
      <c r="N3" s="2" t="s">
        <v>106</v>
      </c>
      <c r="O3" s="3"/>
      <c r="P3" s="3"/>
      <c r="R3" s="2" t="s">
        <v>104</v>
      </c>
      <c r="S3" s="3"/>
      <c r="T3" s="3"/>
    </row>
    <row r="4" spans="1:20">
      <c r="B4" s="4">
        <f>KPI_SUMMARY!B1</f>
        <v>19470</v>
      </c>
      <c r="C4" s="4"/>
      <c r="D4" s="4"/>
      <c r="F4" s="5">
        <f>KPI_SUMMARY!B2</f>
        <v>15</v>
      </c>
      <c r="G4" s="5"/>
      <c r="H4" s="5"/>
      <c r="J4" s="6">
        <f>KPI_SUMMARY!B12</f>
        <v>0.866666666666667</v>
      </c>
      <c r="K4" s="6"/>
      <c r="L4" s="6"/>
      <c r="N4" s="4">
        <f>KPI_SUMMARY!B6</f>
        <v>1497.69230769231</v>
      </c>
      <c r="O4" s="4"/>
      <c r="P4" s="4"/>
      <c r="R4" s="7">
        <f>KPI_SUMMARY!B15</f>
        <v>0.25</v>
      </c>
      <c r="S4" s="7"/>
      <c r="T4" s="7"/>
    </row>
    <row r="5" spans="1:20">
      <c r="B5" s="4"/>
      <c r="C5" s="4"/>
      <c r="D5" s="4"/>
      <c r="F5" s="5"/>
      <c r="G5" s="5"/>
      <c r="H5" s="5"/>
      <c r="J5" s="6"/>
      <c r="K5" s="6"/>
      <c r="L5" s="6"/>
      <c r="N5" s="4"/>
      <c r="O5" s="4"/>
      <c r="P5" s="4"/>
      <c r="R5" s="7"/>
      <c r="S5" s="7"/>
      <c r="T5" s="7"/>
    </row>
    <row r="6" spans="1:20">
      <c r="R6" s="8"/>
    </row>
  </sheetData>
  <mergeCells count="10">
    <mergeCell ref="B3:D3"/>
    <mergeCell ref="F3:H3"/>
    <mergeCell ref="J3:L3"/>
    <mergeCell ref="N3:P3"/>
    <mergeCell ref="R3:T3"/>
    <mergeCell ref="B4:D5"/>
    <mergeCell ref="N4:P5"/>
    <mergeCell ref="F4:H5"/>
    <mergeCell ref="R4:T5"/>
    <mergeCell ref="J4:L5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Raw_Data</vt:lpstr>
      <vt:lpstr>PIVOT_TABLE</vt:lpstr>
      <vt:lpstr>KPI_SUMMARY</vt:lpstr>
      <vt:lpstr>Sales_Dashboard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JAISWAL</dc:creator>
  <cp:lastModifiedBy>Om Jaiswal</cp:lastModifiedBy>
  <dcterms:created xsi:type="dcterms:W3CDTF">2026-09-24T06:41:00Z</dcterms:created>
  <dcterms:modified xsi:type="dcterms:W3CDTF">2026-10-03T16:18:40Z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5A6A4B28CC3A4CE59888B0306AB382D9_12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